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e77b978ca4109e81/Documents/Consulting/experiments and explorations/clustering/"/>
    </mc:Choice>
  </mc:AlternateContent>
  <xr:revisionPtr revIDLastSave="123446" documentId="8_{1C321A95-9A5B-43A5-99F3-3BB67C0FA9F4}" xr6:coauthVersionLast="47" xr6:coauthVersionMax="47" xr10:uidLastSave="{248323A3-0FBF-4B6B-B047-074E5CB7DF4B}"/>
  <bookViews>
    <workbookView xWindow="-120" yWindow="-120" windowWidth="29040" windowHeight="15720" xr2:uid="{37B2E096-4FE4-4797-9A6A-1DC888AC0121}"/>
  </bookViews>
  <sheets>
    <sheet name="clustering" sheetId="1" r:id="rId1"/>
    <sheet name="GA" sheetId="2" r:id="rId2"/>
  </sheets>
  <definedNames>
    <definedName name="_xleta.IF" hidden="1" xlm="1">#NAME?</definedName>
    <definedName name="_xleta.RANDBETWEEN" hidden="1" xlm="1">#NAME?</definedName>
    <definedName name="centroid1X">clustering!$D$4</definedName>
    <definedName name="centroid1Y">clustering!$E$4</definedName>
    <definedName name="centroid2X">clustering!$G$4</definedName>
    <definedName name="centroid2Y">clustering!$H$4</definedName>
    <definedName name="clusterAssignment">clustering!$J$9:$J$56</definedName>
    <definedName name="clusterAssignment2">GA!$J$9:$J$56</definedName>
    <definedName name="maxRuns">clustering!$J$3</definedName>
    <definedName name="maxx">clustering!$B$59</definedName>
    <definedName name="maxy">clustering!$C$59</definedName>
    <definedName name="minx">clustering!$B$58</definedName>
    <definedName name="miny">clustering!$C$58</definedName>
    <definedName name="solver_adj" localSheetId="1" hidden="1">GA!$J$9:$J$56</definedName>
    <definedName name="solver_cvg" localSheetId="1" hidden="1">0.0001</definedName>
    <definedName name="solver_drv" localSheetId="1" hidden="1">2</definedName>
    <definedName name="solver_eng" localSheetId="1" hidden="1">3</definedName>
    <definedName name="solver_est" localSheetId="1" hidden="1">1</definedName>
    <definedName name="solver_itr" localSheetId="1" hidden="1">2147483647</definedName>
    <definedName name="solver_lhs1" localSheetId="1" hidden="1">GA!$F$58</definedName>
    <definedName name="solver_lhs2" localSheetId="1" hidden="1">GA!$I$58</definedName>
    <definedName name="solver_lhs3" localSheetId="1" hidden="1">GA!$J$9:$J$56</definedName>
    <definedName name="solver_lhs4" localSheetId="1" hidden="1">GA!$J$9:$J$56</definedName>
    <definedName name="solver_lhs5" localSheetId="1" hidden="1">GA!$J$9:$J$56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5</definedName>
    <definedName name="solver_nwt" localSheetId="1" hidden="1">1</definedName>
    <definedName name="solver_opt" localSheetId="1" hidden="1">GA!$L$3</definedName>
    <definedName name="solver_pre" localSheetId="1" hidden="1">0.000001</definedName>
    <definedName name="solver_rbv" localSheetId="1" hidden="1">2</definedName>
    <definedName name="solver_rel1" localSheetId="1" hidden="1">3</definedName>
    <definedName name="solver_rel2" localSheetId="1" hidden="1">3</definedName>
    <definedName name="solver_rel3" localSheetId="1" hidden="1">1</definedName>
    <definedName name="solver_rel4" localSheetId="1" hidden="1">4</definedName>
    <definedName name="solver_rel5" localSheetId="1" hidden="1">3</definedName>
    <definedName name="solver_rhs1" localSheetId="1" hidden="1">0.0001</definedName>
    <definedName name="solver_rhs2" localSheetId="1" hidden="1">0.0001</definedName>
    <definedName name="solver_rhs3" localSheetId="1" hidden="1">2</definedName>
    <definedName name="solver_rhs4" localSheetId="1" hidden="1">"integer"</definedName>
    <definedName name="solver_rhs5" localSheetId="1" hidden="1">1</definedName>
    <definedName name="solver_rlx" localSheetId="1" hidden="1">2</definedName>
    <definedName name="solver_rsd" localSheetId="1" hidden="1">0</definedName>
    <definedName name="solver_scl" localSheetId="1" hidden="1">2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2</definedName>
    <definedName name="solver_val" localSheetId="1" hidden="1">0</definedName>
    <definedName name="solver_ver" localSheetId="1" hidden="1">3</definedName>
    <definedName name="updateCentroid1X">clustering!$D$5</definedName>
    <definedName name="updateCentroid1Y">clustering!$E$5</definedName>
    <definedName name="updateCentroid2X">clustering!$G$5</definedName>
    <definedName name="updateCentroid2Y">clustering!$H$5</definedName>
    <definedName name="updateCount">clustering!$J$5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9" i="2" l="1"/>
  <c r="B59" i="2"/>
  <c r="C58" i="2"/>
  <c r="B58" i="2"/>
  <c r="B58" i="1" l="1"/>
  <c r="C59" i="1"/>
  <c r="C58" i="1"/>
  <c r="B59" i="1"/>
  <c r="G22" i="1"/>
  <c r="D28" i="1"/>
  <c r="D39" i="1"/>
  <c r="G38" i="1"/>
  <c r="D35" i="1"/>
  <c r="D25" i="1"/>
  <c r="G25" i="1"/>
  <c r="D17" i="1"/>
  <c r="G41" i="1"/>
  <c r="D10" i="1"/>
  <c r="G52" i="1"/>
  <c r="G18" i="1"/>
  <c r="D31" i="1"/>
  <c r="G36" i="1"/>
  <c r="D23" i="1"/>
  <c r="G53" i="1"/>
  <c r="D56" i="1"/>
  <c r="G42" i="1"/>
  <c r="D18" i="1"/>
  <c r="D20" i="1"/>
  <c r="G50" i="1"/>
  <c r="D37" i="1"/>
  <c r="D12" i="1"/>
  <c r="G40" i="1"/>
  <c r="G33" i="1"/>
  <c r="D16" i="1"/>
  <c r="G37" i="1"/>
  <c r="D30" i="1"/>
  <c r="D26" i="1"/>
  <c r="G31" i="1"/>
  <c r="G15" i="1"/>
  <c r="D55" i="1"/>
  <c r="G48" i="1"/>
  <c r="G28" i="1"/>
  <c r="D15" i="1"/>
  <c r="G45" i="1"/>
  <c r="D43" i="1"/>
  <c r="G39" i="1"/>
  <c r="D46" i="1"/>
  <c r="G55" i="1"/>
  <c r="D42" i="1"/>
  <c r="G43" i="1"/>
  <c r="D51" i="1"/>
  <c r="G29" i="1"/>
  <c r="D19" i="1"/>
  <c r="G12" i="1"/>
  <c r="D22" i="1"/>
  <c r="G14" i="1"/>
  <c r="D36" i="1"/>
  <c r="G46" i="1"/>
  <c r="D52" i="1"/>
  <c r="D21" i="1"/>
  <c r="D50" i="1"/>
  <c r="G26" i="1"/>
  <c r="D41" i="1"/>
  <c r="D44" i="1"/>
  <c r="G17" i="1"/>
  <c r="G19" i="1"/>
  <c r="D29" i="1"/>
  <c r="D49" i="1"/>
  <c r="D11" i="1"/>
  <c r="G51" i="1"/>
  <c r="G9" i="1"/>
  <c r="D53" i="1"/>
  <c r="D48" i="1"/>
  <c r="D45" i="1"/>
  <c r="G10" i="1"/>
  <c r="G30" i="1"/>
  <c r="D34" i="1"/>
  <c r="D14" i="1"/>
  <c r="D32" i="1"/>
  <c r="G34" i="1"/>
  <c r="D24" i="1"/>
  <c r="D47" i="1"/>
  <c r="G20" i="1"/>
  <c r="G56" i="1"/>
  <c r="G54" i="1"/>
  <c r="D54" i="1"/>
  <c r="D27" i="1"/>
  <c r="G11" i="1"/>
  <c r="G16" i="1"/>
  <c r="G32" i="1"/>
  <c r="D33" i="1"/>
  <c r="D40" i="1"/>
  <c r="G24" i="1"/>
  <c r="G49" i="1"/>
  <c r="D9" i="1"/>
  <c r="D38" i="1"/>
  <c r="D13" i="1"/>
  <c r="G21" i="1"/>
  <c r="E39" i="1"/>
  <c r="E45" i="1"/>
  <c r="E47" i="1"/>
  <c r="E43" i="1"/>
  <c r="E21" i="1"/>
  <c r="E34" i="1"/>
  <c r="E15" i="1"/>
  <c r="E24" i="1"/>
  <c r="E29" i="1"/>
  <c r="E14" i="1"/>
  <c r="E17" i="1"/>
  <c r="E49" i="1"/>
  <c r="E53" i="1"/>
  <c r="E33" i="1"/>
  <c r="E13" i="1"/>
  <c r="E30" i="1"/>
  <c r="E12" i="1"/>
  <c r="E28" i="1"/>
  <c r="E42" i="1"/>
  <c r="E19" i="1"/>
  <c r="E48" i="1"/>
  <c r="E38" i="1"/>
  <c r="E50" i="1"/>
  <c r="E27" i="1"/>
  <c r="E41" i="1"/>
  <c r="E10" i="1"/>
  <c r="E25" i="1"/>
  <c r="E32" i="1"/>
  <c r="E20" i="1"/>
  <c r="E22" i="1"/>
  <c r="E11" i="1"/>
  <c r="E37" i="1"/>
  <c r="E52" i="1"/>
  <c r="E36" i="1"/>
  <c r="E40" i="1"/>
  <c r="E46" i="1"/>
  <c r="E31" i="1"/>
  <c r="E26" i="1"/>
  <c r="E55" i="1"/>
  <c r="E18" i="1"/>
  <c r="E44" i="1"/>
  <c r="E56" i="1"/>
  <c r="E9" i="1"/>
  <c r="E23" i="1"/>
  <c r="E35" i="1"/>
  <c r="E51" i="1"/>
  <c r="E54" i="1"/>
  <c r="E16" i="1"/>
  <c r="G44" i="1"/>
  <c r="G27" i="1"/>
  <c r="G47" i="1"/>
  <c r="G35" i="1"/>
  <c r="G13" i="1"/>
  <c r="G23" i="1"/>
  <c r="H5" i="2" l="1"/>
  <c r="H4" i="2" s="1"/>
  <c r="E5" i="2"/>
  <c r="E4" i="2" s="1"/>
  <c r="G5" i="2"/>
  <c r="G4" i="2" s="1"/>
  <c r="D5" i="2"/>
  <c r="D4" i="2" s="1"/>
  <c r="F22" i="1"/>
  <c r="F14" i="1"/>
  <c r="F32" i="1"/>
  <c r="F10" i="1"/>
  <c r="F24" i="1"/>
  <c r="F34" i="1"/>
  <c r="F50" i="1"/>
  <c r="F15" i="1"/>
  <c r="F41" i="1"/>
  <c r="F38" i="1"/>
  <c r="J38" i="1" s="1"/>
  <c r="F9" i="1"/>
  <c r="J9" i="1" s="1"/>
  <c r="F29" i="1"/>
  <c r="F21" i="1"/>
  <c r="J21" i="1" s="1"/>
  <c r="F16" i="1"/>
  <c r="F35" i="1"/>
  <c r="J35" i="1" s="1"/>
  <c r="F45" i="1"/>
  <c r="J45" i="1" s="1"/>
  <c r="F19" i="1"/>
  <c r="F25" i="1"/>
  <c r="F48" i="1"/>
  <c r="F20" i="1"/>
  <c r="F54" i="1"/>
  <c r="F26" i="1"/>
  <c r="F53" i="1"/>
  <c r="F11" i="1"/>
  <c r="F17" i="1"/>
  <c r="F28" i="1"/>
  <c r="F39" i="1"/>
  <c r="F51" i="1"/>
  <c r="F23" i="1"/>
  <c r="F47" i="1"/>
  <c r="J47" i="1" s="1"/>
  <c r="F12" i="1"/>
  <c r="F33" i="1"/>
  <c r="F27" i="1"/>
  <c r="F56" i="1"/>
  <c r="F44" i="1"/>
  <c r="J44" i="1" s="1"/>
  <c r="F18" i="1"/>
  <c r="J18" i="1" s="1"/>
  <c r="F55" i="1"/>
  <c r="F42" i="1"/>
  <c r="F31" i="1"/>
  <c r="F46" i="1"/>
  <c r="F30" i="1"/>
  <c r="F40" i="1"/>
  <c r="F13" i="1"/>
  <c r="F36" i="1"/>
  <c r="F43" i="1"/>
  <c r="F52" i="1"/>
  <c r="F37" i="1"/>
  <c r="F49" i="1"/>
  <c r="H52" i="1"/>
  <c r="I52" i="1" s="1"/>
  <c r="H31" i="1"/>
  <c r="I31" i="1" s="1"/>
  <c r="H35" i="1"/>
  <c r="I35" i="1" s="1"/>
  <c r="H27" i="1"/>
  <c r="I27" i="1" s="1"/>
  <c r="H39" i="1"/>
  <c r="I39" i="1" s="1"/>
  <c r="H33" i="1"/>
  <c r="I33" i="1" s="1"/>
  <c r="H56" i="1"/>
  <c r="I56" i="1" s="1"/>
  <c r="H30" i="1"/>
  <c r="I30" i="1" s="1"/>
  <c r="H10" i="1"/>
  <c r="I10" i="1" s="1"/>
  <c r="H48" i="1"/>
  <c r="I48" i="1" s="1"/>
  <c r="H55" i="1"/>
  <c r="I55" i="1" s="1"/>
  <c r="H47" i="1"/>
  <c r="I47" i="1" s="1"/>
  <c r="H28" i="1"/>
  <c r="I28" i="1" s="1"/>
  <c r="H45" i="1"/>
  <c r="I45" i="1" s="1"/>
  <c r="H37" i="1"/>
  <c r="I37" i="1" s="1"/>
  <c r="H9" i="1"/>
  <c r="I9" i="1" s="1"/>
  <c r="H11" i="1"/>
  <c r="I11" i="1" s="1"/>
  <c r="H49" i="1"/>
  <c r="I49" i="1" s="1"/>
  <c r="H20" i="1"/>
  <c r="I20" i="1" s="1"/>
  <c r="H50" i="1"/>
  <c r="I50" i="1" s="1"/>
  <c r="H32" i="1"/>
  <c r="I32" i="1" s="1"/>
  <c r="H17" i="1"/>
  <c r="I17" i="1" s="1"/>
  <c r="H46" i="1"/>
  <c r="I46" i="1" s="1"/>
  <c r="H26" i="1"/>
  <c r="I26" i="1" s="1"/>
  <c r="H23" i="1"/>
  <c r="I23" i="1" s="1"/>
  <c r="H15" i="1"/>
  <c r="I15" i="1" s="1"/>
  <c r="H36" i="1"/>
  <c r="I36" i="1" s="1"/>
  <c r="H19" i="1"/>
  <c r="I19" i="1" s="1"/>
  <c r="H41" i="1"/>
  <c r="I41" i="1" s="1"/>
  <c r="H14" i="1"/>
  <c r="I14" i="1" s="1"/>
  <c r="H44" i="1"/>
  <c r="I44" i="1" s="1"/>
  <c r="H43" i="1"/>
  <c r="I43" i="1" s="1"/>
  <c r="H42" i="1"/>
  <c r="I42" i="1" s="1"/>
  <c r="H38" i="1"/>
  <c r="I38" i="1" s="1"/>
  <c r="H34" i="1"/>
  <c r="I34" i="1" s="1"/>
  <c r="H18" i="1"/>
  <c r="I18" i="1" s="1"/>
  <c r="H21" i="1"/>
  <c r="I21" i="1" s="1"/>
  <c r="H12" i="1"/>
  <c r="I12" i="1" s="1"/>
  <c r="H51" i="1"/>
  <c r="I51" i="1" s="1"/>
  <c r="H25" i="1"/>
  <c r="I25" i="1" s="1"/>
  <c r="H40" i="1"/>
  <c r="I40" i="1" s="1"/>
  <c r="H53" i="1"/>
  <c r="I53" i="1" s="1"/>
  <c r="H54" i="1"/>
  <c r="I54" i="1" s="1"/>
  <c r="H24" i="1"/>
  <c r="I24" i="1" s="1"/>
  <c r="H22" i="1"/>
  <c r="I22" i="1" s="1"/>
  <c r="H29" i="1"/>
  <c r="I29" i="1" s="1"/>
  <c r="H16" i="1"/>
  <c r="I16" i="1" s="1"/>
  <c r="H13" i="1"/>
  <c r="I13" i="1" s="1"/>
  <c r="J12" i="1" l="1"/>
  <c r="J43" i="1"/>
  <c r="J41" i="1"/>
  <c r="J27" i="1"/>
  <c r="J34" i="1"/>
  <c r="J10" i="1"/>
  <c r="J51" i="1"/>
  <c r="J49" i="1"/>
  <c r="J37" i="1"/>
  <c r="J32" i="1"/>
  <c r="J15" i="1"/>
  <c r="J29" i="1"/>
  <c r="J50" i="1"/>
  <c r="J52" i="1"/>
  <c r="J24" i="1"/>
  <c r="J11" i="1"/>
  <c r="J53" i="1"/>
  <c r="J40" i="1"/>
  <c r="J26" i="1"/>
  <c r="J14" i="1"/>
  <c r="J30" i="1"/>
  <c r="J54" i="1"/>
  <c r="J22" i="1"/>
  <c r="J16" i="1"/>
  <c r="J28" i="1"/>
  <c r="J13" i="1"/>
  <c r="J46" i="1"/>
  <c r="J20" i="1"/>
  <c r="J31" i="1"/>
  <c r="J48" i="1"/>
  <c r="J56" i="1"/>
  <c r="J33" i="1"/>
  <c r="J39" i="1"/>
  <c r="J42" i="1"/>
  <c r="J25" i="1"/>
  <c r="J23" i="1"/>
  <c r="J17" i="1"/>
  <c r="J36" i="1"/>
  <c r="J55" i="1"/>
  <c r="J19" i="1"/>
  <c r="O3" i="2"/>
  <c r="P3" i="2"/>
  <c r="G45" i="2"/>
  <c r="G12" i="2"/>
  <c r="G52" i="2"/>
  <c r="G32" i="2"/>
  <c r="G54" i="2"/>
  <c r="G50" i="2"/>
  <c r="G24" i="2"/>
  <c r="G39" i="2"/>
  <c r="G22" i="2"/>
  <c r="G38" i="2"/>
  <c r="G46" i="2"/>
  <c r="G25" i="2"/>
  <c r="G13" i="2"/>
  <c r="G33" i="2"/>
  <c r="G53" i="2"/>
  <c r="G20" i="2"/>
  <c r="G56" i="2"/>
  <c r="G43" i="2"/>
  <c r="G10" i="2"/>
  <c r="G21" i="2"/>
  <c r="G17" i="2"/>
  <c r="G41" i="2"/>
  <c r="G37" i="2"/>
  <c r="G28" i="2"/>
  <c r="G48" i="2"/>
  <c r="G44" i="2"/>
  <c r="G15" i="2"/>
  <c r="G11" i="2"/>
  <c r="G18" i="2"/>
  <c r="G26" i="2"/>
  <c r="G42" i="2"/>
  <c r="G9" i="2"/>
  <c r="G29" i="2"/>
  <c r="G49" i="2"/>
  <c r="G16" i="2"/>
  <c r="G40" i="2"/>
  <c r="G23" i="2"/>
  <c r="G47" i="2"/>
  <c r="G34" i="2"/>
  <c r="G35" i="2"/>
  <c r="G31" i="2"/>
  <c r="G19" i="2"/>
  <c r="G55" i="2"/>
  <c r="G51" i="2"/>
  <c r="G36" i="2"/>
  <c r="G27" i="2"/>
  <c r="G14" i="2"/>
  <c r="G30" i="2"/>
  <c r="E45" i="2"/>
  <c r="E26" i="2"/>
  <c r="E43" i="2"/>
  <c r="E22" i="2"/>
  <c r="E21" i="2"/>
  <c r="E39" i="2"/>
  <c r="E20" i="2"/>
  <c r="E38" i="2"/>
  <c r="E56" i="2"/>
  <c r="E55" i="2"/>
  <c r="E17" i="2"/>
  <c r="E35" i="2"/>
  <c r="E16" i="2"/>
  <c r="E34" i="2"/>
  <c r="E15" i="2"/>
  <c r="E33" i="2"/>
  <c r="E14" i="2"/>
  <c r="E52" i="2"/>
  <c r="E13" i="2"/>
  <c r="E32" i="2"/>
  <c r="E49" i="2"/>
  <c r="E11" i="2"/>
  <c r="E48" i="2"/>
  <c r="E10" i="2"/>
  <c r="E28" i="2"/>
  <c r="E46" i="2"/>
  <c r="E44" i="2"/>
  <c r="E25" i="2"/>
  <c r="E24" i="2"/>
  <c r="E42" i="2"/>
  <c r="E23" i="2"/>
  <c r="E41" i="2"/>
  <c r="E40" i="2"/>
  <c r="E19" i="2"/>
  <c r="E37" i="2"/>
  <c r="E18" i="2"/>
  <c r="E36" i="2"/>
  <c r="E54" i="2"/>
  <c r="E53" i="2"/>
  <c r="E51" i="2"/>
  <c r="E50" i="2"/>
  <c r="E31" i="2"/>
  <c r="E12" i="2"/>
  <c r="E30" i="2"/>
  <c r="E29" i="2"/>
  <c r="E47" i="2"/>
  <c r="E9" i="2"/>
  <c r="E27" i="2"/>
  <c r="H30" i="2"/>
  <c r="H11" i="2"/>
  <c r="H17" i="2"/>
  <c r="H48" i="2"/>
  <c r="H56" i="2"/>
  <c r="H29" i="2"/>
  <c r="H37" i="2"/>
  <c r="H10" i="2"/>
  <c r="H47" i="2"/>
  <c r="H23" i="2"/>
  <c r="H49" i="2"/>
  <c r="H44" i="2"/>
  <c r="H13" i="2"/>
  <c r="H52" i="2"/>
  <c r="H35" i="2"/>
  <c r="H24" i="2"/>
  <c r="H34" i="2"/>
  <c r="H26" i="2"/>
  <c r="H55" i="2"/>
  <c r="H36" i="2"/>
  <c r="H46" i="2"/>
  <c r="H50" i="2"/>
  <c r="H27" i="2"/>
  <c r="H19" i="2"/>
  <c r="H21" i="2"/>
  <c r="H51" i="2"/>
  <c r="H22" i="2"/>
  <c r="H39" i="2"/>
  <c r="H40" i="2"/>
  <c r="H12" i="2"/>
  <c r="H32" i="2"/>
  <c r="H42" i="2"/>
  <c r="H25" i="2"/>
  <c r="H54" i="2"/>
  <c r="H33" i="2"/>
  <c r="H45" i="2"/>
  <c r="H16" i="2"/>
  <c r="H18" i="2"/>
  <c r="H28" i="2"/>
  <c r="H9" i="2"/>
  <c r="H38" i="2"/>
  <c r="H43" i="2"/>
  <c r="H31" i="2"/>
  <c r="H20" i="2"/>
  <c r="H14" i="2"/>
  <c r="H41" i="2"/>
  <c r="H53" i="2"/>
  <c r="H15" i="2"/>
  <c r="D52" i="2"/>
  <c r="D53" i="2"/>
  <c r="D15" i="2"/>
  <c r="D49" i="2"/>
  <c r="D16" i="2"/>
  <c r="D41" i="2"/>
  <c r="D14" i="2"/>
  <c r="D35" i="2"/>
  <c r="D12" i="2"/>
  <c r="D13" i="2"/>
  <c r="D21" i="2"/>
  <c r="D26" i="2"/>
  <c r="D43" i="2"/>
  <c r="D27" i="2"/>
  <c r="D9" i="2"/>
  <c r="D32" i="2"/>
  <c r="D51" i="2"/>
  <c r="D37" i="2"/>
  <c r="D54" i="2"/>
  <c r="D42" i="2"/>
  <c r="D48" i="2"/>
  <c r="D19" i="2"/>
  <c r="D38" i="2"/>
  <c r="D24" i="2"/>
  <c r="D30" i="2"/>
  <c r="D40" i="2"/>
  <c r="D10" i="2"/>
  <c r="D36" i="2"/>
  <c r="D56" i="2"/>
  <c r="D45" i="2"/>
  <c r="D50" i="2"/>
  <c r="D11" i="2"/>
  <c r="D17" i="2"/>
  <c r="D22" i="2"/>
  <c r="D31" i="2"/>
  <c r="D46" i="2"/>
  <c r="D29" i="2"/>
  <c r="D18" i="2"/>
  <c r="D55" i="2"/>
  <c r="D47" i="2"/>
  <c r="D23" i="2"/>
  <c r="D44" i="2"/>
  <c r="D39" i="2"/>
  <c r="D33" i="2"/>
  <c r="D20" i="2"/>
  <c r="D34" i="2"/>
  <c r="D25" i="2"/>
  <c r="D28" i="2"/>
  <c r="Q3" i="2" l="1"/>
  <c r="I10" i="2"/>
  <c r="F34" i="2"/>
  <c r="I52" i="2"/>
  <c r="F15" i="2"/>
  <c r="F19" i="2"/>
  <c r="I23" i="2"/>
  <c r="I29" i="2"/>
  <c r="I12" i="2"/>
  <c r="I22" i="2"/>
  <c r="F14" i="2"/>
  <c r="F32" i="2"/>
  <c r="F36" i="2"/>
  <c r="F13" i="2"/>
  <c r="F33" i="2"/>
  <c r="F45" i="2"/>
  <c r="I49" i="2"/>
  <c r="I13" i="2"/>
  <c r="I33" i="2"/>
  <c r="I40" i="2"/>
  <c r="F43" i="2"/>
  <c r="F31" i="2"/>
  <c r="I47" i="2"/>
  <c r="I25" i="2"/>
  <c r="F50" i="2"/>
  <c r="F9" i="2"/>
  <c r="F22" i="2"/>
  <c r="F27" i="2"/>
  <c r="F11" i="2"/>
  <c r="F12" i="2"/>
  <c r="F26" i="2"/>
  <c r="F46" i="2"/>
  <c r="I35" i="2"/>
  <c r="I34" i="2"/>
  <c r="F21" i="2"/>
  <c r="I42" i="2"/>
  <c r="I39" i="2"/>
  <c r="I32" i="2"/>
  <c r="I21" i="2"/>
  <c r="I14" i="2"/>
  <c r="I15" i="2"/>
  <c r="I56" i="2"/>
  <c r="I45" i="2"/>
  <c r="F40" i="2"/>
  <c r="F16" i="2"/>
  <c r="I51" i="2"/>
  <c r="I43" i="2"/>
  <c r="F17" i="2"/>
  <c r="I20" i="2"/>
  <c r="F28" i="2"/>
  <c r="F35" i="2"/>
  <c r="I46" i="2"/>
  <c r="F24" i="2"/>
  <c r="I11" i="2"/>
  <c r="F39" i="2"/>
  <c r="I24" i="2"/>
  <c r="F23" i="2"/>
  <c r="F48" i="2"/>
  <c r="I36" i="2"/>
  <c r="I48" i="2"/>
  <c r="F47" i="2"/>
  <c r="F56" i="2"/>
  <c r="I16" i="2"/>
  <c r="I9" i="2"/>
  <c r="F25" i="2"/>
  <c r="F10" i="2"/>
  <c r="F41" i="2"/>
  <c r="I26" i="2"/>
  <c r="I38" i="2"/>
  <c r="F20" i="2"/>
  <c r="F30" i="2"/>
  <c r="I18" i="2"/>
  <c r="F49" i="2"/>
  <c r="I30" i="2"/>
  <c r="F38" i="2"/>
  <c r="F44" i="2"/>
  <c r="F53" i="2"/>
  <c r="I27" i="2"/>
  <c r="I44" i="2"/>
  <c r="I50" i="2"/>
  <c r="F52" i="2"/>
  <c r="I54" i="2"/>
  <c r="F42" i="2"/>
  <c r="I28" i="2"/>
  <c r="F55" i="2"/>
  <c r="F54" i="2"/>
  <c r="I53" i="2"/>
  <c r="I55" i="2"/>
  <c r="I37" i="2"/>
  <c r="F18" i="2"/>
  <c r="F37" i="2"/>
  <c r="I19" i="2"/>
  <c r="I41" i="2"/>
  <c r="F29" i="2"/>
  <c r="F51" i="2"/>
  <c r="I31" i="2"/>
  <c r="I17" i="2"/>
  <c r="E5" i="1"/>
  <c r="D5" i="1"/>
  <c r="G5" i="1"/>
  <c r="H5" i="1"/>
  <c r="L3" i="2" l="1"/>
  <c r="I58" i="2"/>
  <c r="F58" i="2"/>
</calcChain>
</file>

<file path=xl/sharedStrings.xml><?xml version="1.0" encoding="utf-8"?>
<sst xmlns="http://schemas.openxmlformats.org/spreadsheetml/2006/main" count="46" uniqueCount="13">
  <si>
    <t>X</t>
  </si>
  <si>
    <t>Y</t>
  </si>
  <si>
    <t>data points</t>
  </si>
  <si>
    <t>centroid 1</t>
  </si>
  <si>
    <t>centroid 2</t>
  </si>
  <si>
    <t>distance</t>
  </si>
  <si>
    <t>Assigned Cluster</t>
  </si>
  <si>
    <t>this run</t>
  </si>
  <si>
    <t>updated</t>
  </si>
  <si>
    <t>min</t>
  </si>
  <si>
    <t>max</t>
  </si>
  <si>
    <t>Update count</t>
  </si>
  <si>
    <t>Maximum Runs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</si>
</sst>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F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clustering example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clustering!$B$7</c:f>
              <c:strCache>
                <c:ptCount val="1"/>
                <c:pt idx="0">
                  <c:v>data points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C9D5-40A3-A930-1325F97182B8}"/>
              </c:ext>
            </c:extLst>
          </c:dPt>
          <c:dPt>
            <c:idx val="1"/>
            <c:marker>
              <c:symbol val="circle"/>
              <c:size val="5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C9D5-40A3-A930-1325F97182B8}"/>
              </c:ext>
            </c:extLst>
          </c:dPt>
          <c:dPt>
            <c:idx val="2"/>
            <c:marker>
              <c:symbol val="circle"/>
              <c:size val="5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C9D5-40A3-A930-1325F97182B8}"/>
              </c:ext>
            </c:extLst>
          </c:dPt>
          <c:dPt>
            <c:idx val="3"/>
            <c:marker>
              <c:symbol val="circle"/>
              <c:size val="5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C9D5-40A3-A930-1325F97182B8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C9D5-40A3-A930-1325F97182B8}"/>
              </c:ext>
            </c:extLst>
          </c:dPt>
          <c:dPt>
            <c:idx val="5"/>
            <c:marker>
              <c:symbol val="circle"/>
              <c:size val="5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C9D5-40A3-A930-1325F97182B8}"/>
              </c:ext>
            </c:extLst>
          </c:dPt>
          <c:dPt>
            <c:idx val="6"/>
            <c:marker>
              <c:symbol val="circle"/>
              <c:size val="5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9-C9D5-40A3-A930-1325F97182B8}"/>
              </c:ext>
            </c:extLst>
          </c:dPt>
          <c:dPt>
            <c:idx val="7"/>
            <c:marker>
              <c:symbol val="circle"/>
              <c:size val="5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A-C9D5-40A3-A930-1325F97182B8}"/>
              </c:ext>
            </c:extLst>
          </c:dPt>
          <c:dPt>
            <c:idx val="8"/>
            <c:marker>
              <c:symbol val="circle"/>
              <c:size val="5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B-C9D5-40A3-A930-1325F97182B8}"/>
              </c:ext>
            </c:extLst>
          </c:dPt>
          <c:dPt>
            <c:idx val="9"/>
            <c:marker>
              <c:symbol val="circle"/>
              <c:size val="5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C-C9D5-40A3-A930-1325F97182B8}"/>
              </c:ext>
            </c:extLst>
          </c:dPt>
          <c:dPt>
            <c:idx val="10"/>
            <c:marker>
              <c:symbol val="circle"/>
              <c:size val="5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D-C9D5-40A3-A930-1325F97182B8}"/>
              </c:ext>
            </c:extLst>
          </c:dPt>
          <c:dPt>
            <c:idx val="11"/>
            <c:marker>
              <c:symbol val="circle"/>
              <c:size val="5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E-C9D5-40A3-A930-1325F97182B8}"/>
              </c:ext>
            </c:extLst>
          </c:dPt>
          <c:dPt>
            <c:idx val="12"/>
            <c:marker>
              <c:symbol val="circle"/>
              <c:size val="5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F-C9D5-40A3-A930-1325F97182B8}"/>
              </c:ext>
            </c:extLst>
          </c:dPt>
          <c:dPt>
            <c:idx val="13"/>
            <c:marker>
              <c:symbol val="circle"/>
              <c:size val="5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0-C9D5-40A3-A930-1325F97182B8}"/>
              </c:ext>
            </c:extLst>
          </c:dPt>
          <c:dPt>
            <c:idx val="14"/>
            <c:marker>
              <c:symbol val="circle"/>
              <c:size val="5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1-C9D5-40A3-A930-1325F97182B8}"/>
              </c:ext>
            </c:extLst>
          </c:dPt>
          <c:dPt>
            <c:idx val="15"/>
            <c:marker>
              <c:symbol val="circle"/>
              <c:size val="5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2-C9D5-40A3-A930-1325F97182B8}"/>
              </c:ext>
            </c:extLst>
          </c:dPt>
          <c:dPt>
            <c:idx val="16"/>
            <c:marker>
              <c:symbol val="circle"/>
              <c:size val="5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3-C9D5-40A3-A930-1325F97182B8}"/>
              </c:ext>
            </c:extLst>
          </c:dPt>
          <c:dPt>
            <c:idx val="17"/>
            <c:marker>
              <c:symbol val="circle"/>
              <c:size val="5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4-C9D5-40A3-A930-1325F97182B8}"/>
              </c:ext>
            </c:extLst>
          </c:dPt>
          <c:dPt>
            <c:idx val="18"/>
            <c:marker>
              <c:symbol val="circle"/>
              <c:size val="5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5-C9D5-40A3-A930-1325F97182B8}"/>
              </c:ext>
            </c:extLst>
          </c:dPt>
          <c:dPt>
            <c:idx val="19"/>
            <c:marker>
              <c:symbol val="circle"/>
              <c:size val="5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6-C9D5-40A3-A930-1325F97182B8}"/>
              </c:ext>
            </c:extLst>
          </c:dPt>
          <c:dPt>
            <c:idx val="20"/>
            <c:marker>
              <c:symbol val="circle"/>
              <c:size val="5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7-C9D5-40A3-A930-1325F97182B8}"/>
              </c:ext>
            </c:extLst>
          </c:dPt>
          <c:dPt>
            <c:idx val="21"/>
            <c:marker>
              <c:symbol val="circle"/>
              <c:size val="5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8-C9D5-40A3-A930-1325F97182B8}"/>
              </c:ext>
            </c:extLst>
          </c:dPt>
          <c:dPt>
            <c:idx val="22"/>
            <c:marker>
              <c:symbol val="circle"/>
              <c:size val="5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9-C9D5-40A3-A930-1325F97182B8}"/>
              </c:ext>
            </c:extLst>
          </c:dPt>
          <c:dPt>
            <c:idx val="23"/>
            <c:marker>
              <c:symbol val="circle"/>
              <c:size val="5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A-C9D5-40A3-A930-1325F97182B8}"/>
              </c:ext>
            </c:extLst>
          </c:dPt>
          <c:dPt>
            <c:idx val="24"/>
            <c:marker>
              <c:symbol val="circle"/>
              <c:size val="5"/>
              <c:spPr>
                <a:solidFill>
                  <a:srgbClr val="0000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B-C9D5-40A3-A930-1325F97182B8}"/>
              </c:ext>
            </c:extLst>
          </c:dPt>
          <c:dPt>
            <c:idx val="25"/>
            <c:marker>
              <c:symbol val="circle"/>
              <c:size val="5"/>
              <c:spPr>
                <a:solidFill>
                  <a:srgbClr val="0000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C-C9D5-40A3-A930-1325F97182B8}"/>
              </c:ext>
            </c:extLst>
          </c:dPt>
          <c:dPt>
            <c:idx val="26"/>
            <c:marker>
              <c:symbol val="circle"/>
              <c:size val="5"/>
              <c:spPr>
                <a:solidFill>
                  <a:srgbClr val="0000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D-C9D5-40A3-A930-1325F97182B8}"/>
              </c:ext>
            </c:extLst>
          </c:dPt>
          <c:dPt>
            <c:idx val="27"/>
            <c:marker>
              <c:symbol val="circle"/>
              <c:size val="5"/>
              <c:spPr>
                <a:solidFill>
                  <a:srgbClr val="0000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E-C9D5-40A3-A930-1325F97182B8}"/>
              </c:ext>
            </c:extLst>
          </c:dPt>
          <c:dPt>
            <c:idx val="28"/>
            <c:marker>
              <c:symbol val="circle"/>
              <c:size val="5"/>
              <c:spPr>
                <a:solidFill>
                  <a:srgbClr val="0000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F-C9D5-40A3-A930-1325F97182B8}"/>
              </c:ext>
            </c:extLst>
          </c:dPt>
          <c:dPt>
            <c:idx val="29"/>
            <c:marker>
              <c:symbol val="circle"/>
              <c:size val="5"/>
              <c:spPr>
                <a:solidFill>
                  <a:srgbClr val="0000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0-C9D5-40A3-A930-1325F97182B8}"/>
              </c:ext>
            </c:extLst>
          </c:dPt>
          <c:dPt>
            <c:idx val="30"/>
            <c:marker>
              <c:symbol val="circle"/>
              <c:size val="5"/>
              <c:spPr>
                <a:solidFill>
                  <a:srgbClr val="0000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1-C9D5-40A3-A930-1325F97182B8}"/>
              </c:ext>
            </c:extLst>
          </c:dPt>
          <c:dPt>
            <c:idx val="31"/>
            <c:marker>
              <c:symbol val="circle"/>
              <c:size val="5"/>
              <c:spPr>
                <a:solidFill>
                  <a:srgbClr val="0000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2-C9D5-40A3-A930-1325F97182B8}"/>
              </c:ext>
            </c:extLst>
          </c:dPt>
          <c:dPt>
            <c:idx val="32"/>
            <c:marker>
              <c:symbol val="circle"/>
              <c:size val="5"/>
              <c:spPr>
                <a:solidFill>
                  <a:srgbClr val="0000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3-C9D5-40A3-A930-1325F97182B8}"/>
              </c:ext>
            </c:extLst>
          </c:dPt>
          <c:dPt>
            <c:idx val="33"/>
            <c:marker>
              <c:symbol val="circle"/>
              <c:size val="5"/>
              <c:spPr>
                <a:solidFill>
                  <a:srgbClr val="0000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4-C9D5-40A3-A930-1325F97182B8}"/>
              </c:ext>
            </c:extLst>
          </c:dPt>
          <c:dPt>
            <c:idx val="34"/>
            <c:marker>
              <c:symbol val="circle"/>
              <c:size val="5"/>
              <c:spPr>
                <a:solidFill>
                  <a:srgbClr val="0000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5-C9D5-40A3-A930-1325F97182B8}"/>
              </c:ext>
            </c:extLst>
          </c:dPt>
          <c:dPt>
            <c:idx val="35"/>
            <c:marker>
              <c:symbol val="circle"/>
              <c:size val="5"/>
              <c:spPr>
                <a:solidFill>
                  <a:srgbClr val="0000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6-C9D5-40A3-A930-1325F97182B8}"/>
              </c:ext>
            </c:extLst>
          </c:dPt>
          <c:dPt>
            <c:idx val="36"/>
            <c:marker>
              <c:symbol val="circle"/>
              <c:size val="5"/>
              <c:spPr>
                <a:solidFill>
                  <a:srgbClr val="0000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7-C9D5-40A3-A930-1325F97182B8}"/>
              </c:ext>
            </c:extLst>
          </c:dPt>
          <c:dPt>
            <c:idx val="37"/>
            <c:marker>
              <c:symbol val="circle"/>
              <c:size val="5"/>
              <c:spPr>
                <a:solidFill>
                  <a:srgbClr val="0000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8-C9D5-40A3-A930-1325F97182B8}"/>
              </c:ext>
            </c:extLst>
          </c:dPt>
          <c:dPt>
            <c:idx val="38"/>
            <c:marker>
              <c:symbol val="circle"/>
              <c:size val="5"/>
              <c:spPr>
                <a:solidFill>
                  <a:srgbClr val="0000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9-C9D5-40A3-A930-1325F97182B8}"/>
              </c:ext>
            </c:extLst>
          </c:dPt>
          <c:dPt>
            <c:idx val="39"/>
            <c:marker>
              <c:symbol val="circle"/>
              <c:size val="5"/>
              <c:spPr>
                <a:solidFill>
                  <a:srgbClr val="0000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A-C9D5-40A3-A930-1325F97182B8}"/>
              </c:ext>
            </c:extLst>
          </c:dPt>
          <c:dPt>
            <c:idx val="40"/>
            <c:marker>
              <c:symbol val="circle"/>
              <c:size val="5"/>
              <c:spPr>
                <a:solidFill>
                  <a:srgbClr val="0000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B-C9D5-40A3-A930-1325F97182B8}"/>
              </c:ext>
            </c:extLst>
          </c:dPt>
          <c:dPt>
            <c:idx val="41"/>
            <c:marker>
              <c:symbol val="circle"/>
              <c:size val="5"/>
              <c:spPr>
                <a:solidFill>
                  <a:srgbClr val="0000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C-C9D5-40A3-A930-1325F97182B8}"/>
              </c:ext>
            </c:extLst>
          </c:dPt>
          <c:dPt>
            <c:idx val="42"/>
            <c:marker>
              <c:symbol val="circle"/>
              <c:size val="5"/>
              <c:spPr>
                <a:solidFill>
                  <a:srgbClr val="0000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D-C9D5-40A3-A930-1325F97182B8}"/>
              </c:ext>
            </c:extLst>
          </c:dPt>
          <c:dPt>
            <c:idx val="43"/>
            <c:marker>
              <c:symbol val="circle"/>
              <c:size val="5"/>
              <c:spPr>
                <a:solidFill>
                  <a:srgbClr val="0000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E-C9D5-40A3-A930-1325F97182B8}"/>
              </c:ext>
            </c:extLst>
          </c:dPt>
          <c:dPt>
            <c:idx val="44"/>
            <c:marker>
              <c:symbol val="circle"/>
              <c:size val="5"/>
              <c:spPr>
                <a:solidFill>
                  <a:srgbClr val="0000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F-C9D5-40A3-A930-1325F97182B8}"/>
              </c:ext>
            </c:extLst>
          </c:dPt>
          <c:dPt>
            <c:idx val="45"/>
            <c:marker>
              <c:symbol val="circle"/>
              <c:size val="5"/>
              <c:spPr>
                <a:solidFill>
                  <a:srgbClr val="0000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0-C9D5-40A3-A930-1325F97182B8}"/>
              </c:ext>
            </c:extLst>
          </c:dPt>
          <c:dPt>
            <c:idx val="46"/>
            <c:marker>
              <c:symbol val="circle"/>
              <c:size val="5"/>
              <c:spPr>
                <a:solidFill>
                  <a:srgbClr val="0000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1-C9D5-40A3-A930-1325F97182B8}"/>
              </c:ext>
            </c:extLst>
          </c:dPt>
          <c:dPt>
            <c:idx val="47"/>
            <c:marker>
              <c:symbol val="circle"/>
              <c:size val="5"/>
              <c:spPr>
                <a:solidFill>
                  <a:srgbClr val="0000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2-C9D5-40A3-A930-1325F97182B8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4A693088-2D60-4BE4-BAC4-D72E7DDAB41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9D5-40A3-A930-1325F97182B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B234549-A051-41E6-B2DB-E2A4549342E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9D5-40A3-A930-1325F97182B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C86862B-98F1-40AA-AF65-4788CD31A19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9D5-40A3-A930-1325F97182B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40B73F4-549F-465E-8CDD-6EE8FB6A9D1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9D5-40A3-A930-1325F97182B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262AA12-0804-4C2F-92D7-C710875DCCF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9D5-40A3-A930-1325F97182B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5772B0E-DD77-49FD-9732-AD38A5EDEDC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9D5-40A3-A930-1325F97182B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ECF4BF2-307D-4E79-8F3A-46D8F5A5535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9D5-40A3-A930-1325F97182B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569EC7A-CFE8-489E-91B8-46054A3BA03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9D5-40A3-A930-1325F97182B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64C4CE0-52B1-43B6-8CE2-D2664A1613A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9D5-40A3-A930-1325F97182B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77AE10D-F268-4C47-8E62-383DBDB61C3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9D5-40A3-A930-1325F97182B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2A6AD14-E94B-4F38-9123-97D2202C063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9D5-40A3-A930-1325F97182B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30772CE-7AAA-4FB0-B455-2F690E7633A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9D5-40A3-A930-1325F97182B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3F792AB-CAAC-422D-9421-1A178E7C692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9D5-40A3-A930-1325F97182B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744E233-8D98-4B1B-B1C0-CB0A42EF9BF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9D5-40A3-A930-1325F97182B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3DFA12C-B9C7-4B6E-B573-4BF4099D279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9D5-40A3-A930-1325F97182B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FBD4AB8-6836-4E7A-8E81-E0D10249267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9D5-40A3-A930-1325F97182B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CBDBA99-580D-4713-8619-3584BF1C2AA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9D5-40A3-A930-1325F97182B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28E6B96-AF40-4B3C-8822-848DB132637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9D5-40A3-A930-1325F97182B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43BF6AC-A11E-40F5-B4E4-A6283F08FD2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9D5-40A3-A930-1325F97182B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1DAC75F-2AF8-4D7F-803B-DE5E38DD0E7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9D5-40A3-A930-1325F97182B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DF11D97-8C83-47DD-9CCF-599282E1350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9D5-40A3-A930-1325F97182B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1384BD2-90B7-4DE9-9BAA-04E71E62E10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9D5-40A3-A930-1325F97182B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61DBC83-5436-415E-ACE9-2E860D4826B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9D5-40A3-A930-1325F97182B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B1A2C0E-3768-4542-AF5E-71CC770290F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9D5-40A3-A930-1325F97182B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2DB388A-E4C3-450A-9447-ABCDF4E90CC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9D5-40A3-A930-1325F97182B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939C366-B236-4B68-B631-FED5A24C40A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9D5-40A3-A930-1325F97182B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6E57882-8DBE-450C-B357-A7402F217B1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9D5-40A3-A930-1325F97182B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4A8B6E5-E82D-4B9E-BAC5-2ACFB60C7CA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9D5-40A3-A930-1325F97182B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5467941-081A-4C5A-8F4C-CAFA4F5A66A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9D5-40A3-A930-1325F97182B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63DD2B1-58F1-4F7C-B864-2AA2A2A4477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9D5-40A3-A930-1325F97182B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9BC6C43-4DDD-4D57-A22C-E3D6AA3F4A2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9D5-40A3-A930-1325F97182B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70B3D28-1C69-4EF0-87CA-67042E5292E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9D5-40A3-A930-1325F97182B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42C62B7-68E8-4F1B-B91B-BA323D6D6E8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9D5-40A3-A930-1325F97182B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953F92B-F094-415D-82FB-44ADC02FEBA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9D5-40A3-A930-1325F97182B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14F1E2A-F132-4A3D-A8C4-3A88AE18FF8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9D5-40A3-A930-1325F97182B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F4762DD-A13D-45ED-8FC0-8A6DE18F58C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9D5-40A3-A930-1325F97182B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DC82FD9-A1B7-4833-8FEE-78E6B5D5BFB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9D5-40A3-A930-1325F97182B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576C554-65B4-4ED7-8996-68D34D1E5C3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9D5-40A3-A930-1325F97182B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5D78615-D793-4D2C-93E8-174F78E9144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9D5-40A3-A930-1325F97182B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DA92F11-8DD8-4D82-BC59-1912A9F33BE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9D5-40A3-A930-1325F97182B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917DBB3-FF20-4C49-8C4E-C84D430C256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9D5-40A3-A930-1325F97182B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E63488C-E492-40A7-944C-3D6E3CBBBBE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9D5-40A3-A930-1325F97182B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3CDCD0A-9751-49D8-BD50-34C13D697D1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9D5-40A3-A930-1325F97182B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9101E838-C569-4681-89C6-07DB3153556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9D5-40A3-A930-1325F97182B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B7F10F5-B0D1-4FAD-ADFD-13C1CE60F20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9D5-40A3-A930-1325F97182B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F0ECE5C-AA1A-4D68-8495-3AA867AC7A0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9D5-40A3-A930-1325F97182B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A105E7B-0040-4C3B-B7EB-3948C5FB14C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9D5-40A3-A930-1325F97182B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A24AAA5-7CF6-4201-8A58-2C6A54455B2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9D5-40A3-A930-1325F97182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clustering!$B$9:$B$56</c:f>
              <c:numCache>
                <c:formatCode>General</c:formatCode>
                <c:ptCount val="48"/>
                <c:pt idx="0">
                  <c:v>-42</c:v>
                </c:pt>
                <c:pt idx="1">
                  <c:v>-89</c:v>
                </c:pt>
                <c:pt idx="2">
                  <c:v>-19</c:v>
                </c:pt>
                <c:pt idx="3">
                  <c:v>-33</c:v>
                </c:pt>
                <c:pt idx="4">
                  <c:v>-60</c:v>
                </c:pt>
                <c:pt idx="5">
                  <c:v>-140</c:v>
                </c:pt>
                <c:pt idx="6">
                  <c:v>-125</c:v>
                </c:pt>
                <c:pt idx="7">
                  <c:v>-113</c:v>
                </c:pt>
                <c:pt idx="8">
                  <c:v>-157</c:v>
                </c:pt>
                <c:pt idx="9">
                  <c:v>-187</c:v>
                </c:pt>
                <c:pt idx="10">
                  <c:v>-195</c:v>
                </c:pt>
                <c:pt idx="11">
                  <c:v>20</c:v>
                </c:pt>
                <c:pt idx="12">
                  <c:v>5</c:v>
                </c:pt>
                <c:pt idx="13">
                  <c:v>-165</c:v>
                </c:pt>
                <c:pt idx="14">
                  <c:v>-129</c:v>
                </c:pt>
                <c:pt idx="15">
                  <c:v>-7</c:v>
                </c:pt>
                <c:pt idx="16">
                  <c:v>14</c:v>
                </c:pt>
                <c:pt idx="17">
                  <c:v>-146</c:v>
                </c:pt>
                <c:pt idx="18">
                  <c:v>-120</c:v>
                </c:pt>
                <c:pt idx="19">
                  <c:v>-37</c:v>
                </c:pt>
                <c:pt idx="20">
                  <c:v>-135</c:v>
                </c:pt>
                <c:pt idx="21">
                  <c:v>-188</c:v>
                </c:pt>
                <c:pt idx="22">
                  <c:v>6</c:v>
                </c:pt>
                <c:pt idx="23">
                  <c:v>-52</c:v>
                </c:pt>
                <c:pt idx="24">
                  <c:v>33</c:v>
                </c:pt>
                <c:pt idx="25">
                  <c:v>37</c:v>
                </c:pt>
                <c:pt idx="26">
                  <c:v>85</c:v>
                </c:pt>
                <c:pt idx="27">
                  <c:v>3</c:v>
                </c:pt>
                <c:pt idx="28">
                  <c:v>54</c:v>
                </c:pt>
                <c:pt idx="29">
                  <c:v>-20</c:v>
                </c:pt>
                <c:pt idx="30">
                  <c:v>163</c:v>
                </c:pt>
                <c:pt idx="31">
                  <c:v>166</c:v>
                </c:pt>
                <c:pt idx="32">
                  <c:v>123</c:v>
                </c:pt>
                <c:pt idx="33">
                  <c:v>-5</c:v>
                </c:pt>
                <c:pt idx="34">
                  <c:v>86</c:v>
                </c:pt>
                <c:pt idx="35">
                  <c:v>117</c:v>
                </c:pt>
                <c:pt idx="36">
                  <c:v>163</c:v>
                </c:pt>
                <c:pt idx="37">
                  <c:v>137</c:v>
                </c:pt>
                <c:pt idx="38">
                  <c:v>-1</c:v>
                </c:pt>
                <c:pt idx="39">
                  <c:v>154</c:v>
                </c:pt>
                <c:pt idx="40">
                  <c:v>64</c:v>
                </c:pt>
                <c:pt idx="41">
                  <c:v>89</c:v>
                </c:pt>
                <c:pt idx="42">
                  <c:v>168</c:v>
                </c:pt>
                <c:pt idx="43">
                  <c:v>22</c:v>
                </c:pt>
                <c:pt idx="44">
                  <c:v>-20</c:v>
                </c:pt>
                <c:pt idx="45">
                  <c:v>-14</c:v>
                </c:pt>
                <c:pt idx="46">
                  <c:v>183</c:v>
                </c:pt>
                <c:pt idx="47">
                  <c:v>193</c:v>
                </c:pt>
              </c:numCache>
            </c:numRef>
          </c:xVal>
          <c:yVal>
            <c:numRef>
              <c:f>clustering!$C$9:$C$56</c:f>
              <c:numCache>
                <c:formatCode>General</c:formatCode>
                <c:ptCount val="48"/>
                <c:pt idx="0">
                  <c:v>-188</c:v>
                </c:pt>
                <c:pt idx="1">
                  <c:v>-200</c:v>
                </c:pt>
                <c:pt idx="2">
                  <c:v>-4</c:v>
                </c:pt>
                <c:pt idx="3">
                  <c:v>-39</c:v>
                </c:pt>
                <c:pt idx="4">
                  <c:v>-134</c:v>
                </c:pt>
                <c:pt idx="5">
                  <c:v>-31</c:v>
                </c:pt>
                <c:pt idx="6">
                  <c:v>-86</c:v>
                </c:pt>
                <c:pt idx="7">
                  <c:v>-138</c:v>
                </c:pt>
                <c:pt idx="8">
                  <c:v>-87</c:v>
                </c:pt>
                <c:pt idx="9">
                  <c:v>-190</c:v>
                </c:pt>
                <c:pt idx="10">
                  <c:v>3</c:v>
                </c:pt>
                <c:pt idx="11">
                  <c:v>-33</c:v>
                </c:pt>
                <c:pt idx="12">
                  <c:v>-186</c:v>
                </c:pt>
                <c:pt idx="13">
                  <c:v>-59</c:v>
                </c:pt>
                <c:pt idx="14">
                  <c:v>-24</c:v>
                </c:pt>
                <c:pt idx="15">
                  <c:v>-44</c:v>
                </c:pt>
                <c:pt idx="16">
                  <c:v>-189</c:v>
                </c:pt>
                <c:pt idx="17">
                  <c:v>-125</c:v>
                </c:pt>
                <c:pt idx="18">
                  <c:v>-145</c:v>
                </c:pt>
                <c:pt idx="19">
                  <c:v>-127</c:v>
                </c:pt>
                <c:pt idx="20">
                  <c:v>-4</c:v>
                </c:pt>
                <c:pt idx="21">
                  <c:v>-181</c:v>
                </c:pt>
                <c:pt idx="22">
                  <c:v>-39</c:v>
                </c:pt>
                <c:pt idx="23">
                  <c:v>-120</c:v>
                </c:pt>
                <c:pt idx="24">
                  <c:v>92</c:v>
                </c:pt>
                <c:pt idx="25">
                  <c:v>130</c:v>
                </c:pt>
                <c:pt idx="26">
                  <c:v>132</c:v>
                </c:pt>
                <c:pt idx="27">
                  <c:v>177</c:v>
                </c:pt>
                <c:pt idx="28">
                  <c:v>4</c:v>
                </c:pt>
                <c:pt idx="29">
                  <c:v>162</c:v>
                </c:pt>
                <c:pt idx="30">
                  <c:v>17</c:v>
                </c:pt>
                <c:pt idx="31">
                  <c:v>92</c:v>
                </c:pt>
                <c:pt idx="32">
                  <c:v>73</c:v>
                </c:pt>
                <c:pt idx="33">
                  <c:v>141</c:v>
                </c:pt>
                <c:pt idx="34">
                  <c:v>43</c:v>
                </c:pt>
                <c:pt idx="35">
                  <c:v>28</c:v>
                </c:pt>
                <c:pt idx="36">
                  <c:v>80</c:v>
                </c:pt>
                <c:pt idx="37">
                  <c:v>93</c:v>
                </c:pt>
                <c:pt idx="38">
                  <c:v>25</c:v>
                </c:pt>
                <c:pt idx="39">
                  <c:v>64</c:v>
                </c:pt>
                <c:pt idx="40">
                  <c:v>59</c:v>
                </c:pt>
                <c:pt idx="41">
                  <c:v>168</c:v>
                </c:pt>
                <c:pt idx="42">
                  <c:v>25</c:v>
                </c:pt>
                <c:pt idx="43">
                  <c:v>40</c:v>
                </c:pt>
                <c:pt idx="44">
                  <c:v>187</c:v>
                </c:pt>
                <c:pt idx="45">
                  <c:v>72</c:v>
                </c:pt>
                <c:pt idx="46">
                  <c:v>76</c:v>
                </c:pt>
                <c:pt idx="47">
                  <c:v>99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clustering!$J$9:$J$56</c15:f>
                <c15:dlblRangeCache>
                  <c:ptCount val="48"/>
                  <c:pt idx="0">
                    <c:v>1</c:v>
                  </c:pt>
                  <c:pt idx="1">
                    <c:v>1</c:v>
                  </c:pt>
                  <c:pt idx="2">
                    <c:v>1</c:v>
                  </c:pt>
                  <c:pt idx="3">
                    <c:v>1</c:v>
                  </c:pt>
                  <c:pt idx="4">
                    <c:v>1</c:v>
                  </c:pt>
                  <c:pt idx="5">
                    <c:v>1</c:v>
                  </c:pt>
                  <c:pt idx="6">
                    <c:v>1</c:v>
                  </c:pt>
                  <c:pt idx="7">
                    <c:v>1</c:v>
                  </c:pt>
                  <c:pt idx="8">
                    <c:v>1</c:v>
                  </c:pt>
                  <c:pt idx="9">
                    <c:v>1</c:v>
                  </c:pt>
                  <c:pt idx="10">
                    <c:v>1</c:v>
                  </c:pt>
                  <c:pt idx="11">
                    <c:v>1</c:v>
                  </c:pt>
                  <c:pt idx="12">
                    <c:v>1</c:v>
                  </c:pt>
                  <c:pt idx="13">
                    <c:v>1</c:v>
                  </c:pt>
                  <c:pt idx="14">
                    <c:v>1</c:v>
                  </c:pt>
                  <c:pt idx="15">
                    <c:v>1</c:v>
                  </c:pt>
                  <c:pt idx="16">
                    <c:v>1</c:v>
                  </c:pt>
                  <c:pt idx="17">
                    <c:v>1</c:v>
                  </c:pt>
                  <c:pt idx="18">
                    <c:v>1</c:v>
                  </c:pt>
                  <c:pt idx="19">
                    <c:v>1</c:v>
                  </c:pt>
                  <c:pt idx="20">
                    <c:v>1</c:v>
                  </c:pt>
                  <c:pt idx="21">
                    <c:v>1</c:v>
                  </c:pt>
                  <c:pt idx="22">
                    <c:v>1</c:v>
                  </c:pt>
                  <c:pt idx="23">
                    <c:v>1</c:v>
                  </c:pt>
                  <c:pt idx="24">
                    <c:v>2</c:v>
                  </c:pt>
                  <c:pt idx="25">
                    <c:v>2</c:v>
                  </c:pt>
                  <c:pt idx="26">
                    <c:v>2</c:v>
                  </c:pt>
                  <c:pt idx="27">
                    <c:v>2</c:v>
                  </c:pt>
                  <c:pt idx="28">
                    <c:v>2</c:v>
                  </c:pt>
                  <c:pt idx="29">
                    <c:v>2</c:v>
                  </c:pt>
                  <c:pt idx="30">
                    <c:v>2</c:v>
                  </c:pt>
                  <c:pt idx="31">
                    <c:v>2</c:v>
                  </c:pt>
                  <c:pt idx="32">
                    <c:v>2</c:v>
                  </c:pt>
                  <c:pt idx="33">
                    <c:v>2</c:v>
                  </c:pt>
                  <c:pt idx="34">
                    <c:v>2</c:v>
                  </c:pt>
                  <c:pt idx="35">
                    <c:v>2</c:v>
                  </c:pt>
                  <c:pt idx="36">
                    <c:v>2</c:v>
                  </c:pt>
                  <c:pt idx="37">
                    <c:v>2</c:v>
                  </c:pt>
                  <c:pt idx="38">
                    <c:v>2</c:v>
                  </c:pt>
                  <c:pt idx="39">
                    <c:v>2</c:v>
                  </c:pt>
                  <c:pt idx="40">
                    <c:v>2</c:v>
                  </c:pt>
                  <c:pt idx="41">
                    <c:v>2</c:v>
                  </c:pt>
                  <c:pt idx="42">
                    <c:v>2</c:v>
                  </c:pt>
                  <c:pt idx="43">
                    <c:v>2</c:v>
                  </c:pt>
                  <c:pt idx="44">
                    <c:v>2</c:v>
                  </c:pt>
                  <c:pt idx="45">
                    <c:v>2</c:v>
                  </c:pt>
                  <c:pt idx="46">
                    <c:v>2</c:v>
                  </c:pt>
                  <c:pt idx="47">
                    <c:v>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C9D5-40A3-A930-1325F97182B8}"/>
            </c:ext>
          </c:extLst>
        </c:ser>
        <c:ser>
          <c:idx val="1"/>
          <c:order val="1"/>
          <c:tx>
            <c:strRef>
              <c:f>clustering!$D$2</c:f>
              <c:strCache>
                <c:ptCount val="1"/>
                <c:pt idx="0">
                  <c:v>centroid 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x"/>
            <c:size val="20"/>
            <c:spPr>
              <a:noFill/>
              <a:ln w="31750">
                <a:solidFill>
                  <a:srgbClr val="FF0000"/>
                </a:solidFill>
              </a:ln>
              <a:effectLst/>
            </c:spPr>
          </c:marker>
          <c:xVal>
            <c:numRef>
              <c:f>clustering!$D$4</c:f>
              <c:numCache>
                <c:formatCode>General</c:formatCode>
                <c:ptCount val="1"/>
                <c:pt idx="0">
                  <c:v>-87.25</c:v>
                </c:pt>
              </c:numCache>
            </c:numRef>
          </c:xVal>
          <c:yVal>
            <c:numRef>
              <c:f>clustering!$E$4</c:f>
              <c:numCache>
                <c:formatCode>General</c:formatCode>
                <c:ptCount val="1"/>
                <c:pt idx="0">
                  <c:v>-98.75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9D5-40A3-A930-1325F97182B8}"/>
            </c:ext>
          </c:extLst>
        </c:ser>
        <c:ser>
          <c:idx val="2"/>
          <c:order val="2"/>
          <c:tx>
            <c:strRef>
              <c:f>clustering!$G$2</c:f>
              <c:strCache>
                <c:ptCount val="1"/>
                <c:pt idx="0">
                  <c:v>centroid 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plus"/>
            <c:size val="20"/>
            <c:spPr>
              <a:noFill/>
              <a:ln w="31750">
                <a:solidFill>
                  <a:srgbClr val="0000FF"/>
                </a:solidFill>
              </a:ln>
              <a:effectLst/>
            </c:spPr>
          </c:marker>
          <c:xVal>
            <c:numRef>
              <c:f>clustering!$G$4</c:f>
              <c:numCache>
                <c:formatCode>General</c:formatCode>
                <c:ptCount val="1"/>
                <c:pt idx="0">
                  <c:v>82.5</c:v>
                </c:pt>
              </c:numCache>
            </c:numRef>
          </c:xVal>
          <c:yVal>
            <c:numRef>
              <c:f>clustering!$H$4</c:f>
              <c:numCache>
                <c:formatCode>General</c:formatCode>
                <c:ptCount val="1"/>
                <c:pt idx="0">
                  <c:v>86.625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9D5-40A3-A930-1325F9718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4763792"/>
        <c:axId val="1114753712"/>
      </c:scatterChart>
      <c:valAx>
        <c:axId val="1114763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4753712"/>
        <c:crosses val="autoZero"/>
        <c:crossBetween val="midCat"/>
      </c:valAx>
      <c:valAx>
        <c:axId val="111475371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47637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clustering example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GA!$B$7</c:f>
              <c:strCache>
                <c:ptCount val="1"/>
                <c:pt idx="0">
                  <c:v>data points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rgbClr val="0000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FC9F-4B08-A064-A67BCD01698F}"/>
              </c:ext>
            </c:extLst>
          </c:dPt>
          <c:dPt>
            <c:idx val="1"/>
            <c:marker>
              <c:symbol val="circle"/>
              <c:size val="5"/>
              <c:spPr>
                <a:solidFill>
                  <a:srgbClr val="0000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FC9F-4B08-A064-A67BCD01698F}"/>
              </c:ext>
            </c:extLst>
          </c:dPt>
          <c:dPt>
            <c:idx val="2"/>
            <c:marker>
              <c:symbol val="circle"/>
              <c:size val="5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FC9F-4B08-A064-A67BCD01698F}"/>
              </c:ext>
            </c:extLst>
          </c:dPt>
          <c:dPt>
            <c:idx val="3"/>
            <c:marker>
              <c:symbol val="circle"/>
              <c:size val="5"/>
              <c:spPr>
                <a:solidFill>
                  <a:srgbClr val="0000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FC9F-4B08-A064-A67BCD01698F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rgbClr val="0000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FC9F-4B08-A064-A67BCD01698F}"/>
              </c:ext>
            </c:extLst>
          </c:dPt>
          <c:dPt>
            <c:idx val="5"/>
            <c:marker>
              <c:symbol val="circle"/>
              <c:size val="5"/>
              <c:spPr>
                <a:solidFill>
                  <a:srgbClr val="0000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FC9F-4B08-A064-A67BCD01698F}"/>
              </c:ext>
            </c:extLst>
          </c:dPt>
          <c:dPt>
            <c:idx val="6"/>
            <c:marker>
              <c:symbol val="circle"/>
              <c:size val="5"/>
              <c:spPr>
                <a:solidFill>
                  <a:srgbClr val="0000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FC9F-4B08-A064-A67BCD01698F}"/>
              </c:ext>
            </c:extLst>
          </c:dPt>
          <c:dPt>
            <c:idx val="7"/>
            <c:marker>
              <c:symbol val="circle"/>
              <c:size val="5"/>
              <c:spPr>
                <a:solidFill>
                  <a:srgbClr val="0000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FC9F-4B08-A064-A67BCD01698F}"/>
              </c:ext>
            </c:extLst>
          </c:dPt>
          <c:dPt>
            <c:idx val="8"/>
            <c:marker>
              <c:symbol val="circle"/>
              <c:size val="5"/>
              <c:spPr>
                <a:solidFill>
                  <a:srgbClr val="0000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FC9F-4B08-A064-A67BCD01698F}"/>
              </c:ext>
            </c:extLst>
          </c:dPt>
          <c:dPt>
            <c:idx val="9"/>
            <c:marker>
              <c:symbol val="circle"/>
              <c:size val="5"/>
              <c:spPr>
                <a:solidFill>
                  <a:srgbClr val="0000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9-FC9F-4B08-A064-A67BCD01698F}"/>
              </c:ext>
            </c:extLst>
          </c:dPt>
          <c:dPt>
            <c:idx val="10"/>
            <c:marker>
              <c:symbol val="circle"/>
              <c:size val="5"/>
              <c:spPr>
                <a:solidFill>
                  <a:srgbClr val="0000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A-FC9F-4B08-A064-A67BCD01698F}"/>
              </c:ext>
            </c:extLst>
          </c:dPt>
          <c:dPt>
            <c:idx val="11"/>
            <c:marker>
              <c:symbol val="circle"/>
              <c:size val="5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B-FC9F-4B08-A064-A67BCD01698F}"/>
              </c:ext>
            </c:extLst>
          </c:dPt>
          <c:dPt>
            <c:idx val="12"/>
            <c:marker>
              <c:symbol val="circle"/>
              <c:size val="5"/>
              <c:spPr>
                <a:solidFill>
                  <a:srgbClr val="0000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C-FC9F-4B08-A064-A67BCD01698F}"/>
              </c:ext>
            </c:extLst>
          </c:dPt>
          <c:dPt>
            <c:idx val="13"/>
            <c:marker>
              <c:symbol val="circle"/>
              <c:size val="5"/>
              <c:spPr>
                <a:solidFill>
                  <a:srgbClr val="0000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D-FC9F-4B08-A064-A67BCD01698F}"/>
              </c:ext>
            </c:extLst>
          </c:dPt>
          <c:dPt>
            <c:idx val="14"/>
            <c:marker>
              <c:symbol val="circle"/>
              <c:size val="5"/>
              <c:spPr>
                <a:solidFill>
                  <a:srgbClr val="0000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E-FC9F-4B08-A064-A67BCD01698F}"/>
              </c:ext>
            </c:extLst>
          </c:dPt>
          <c:dPt>
            <c:idx val="15"/>
            <c:marker>
              <c:symbol val="circle"/>
              <c:size val="5"/>
              <c:spPr>
                <a:solidFill>
                  <a:srgbClr val="0000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F-FC9F-4B08-A064-A67BCD01698F}"/>
              </c:ext>
            </c:extLst>
          </c:dPt>
          <c:dPt>
            <c:idx val="16"/>
            <c:marker>
              <c:symbol val="circle"/>
              <c:size val="5"/>
              <c:spPr>
                <a:solidFill>
                  <a:srgbClr val="0000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0-FC9F-4B08-A064-A67BCD01698F}"/>
              </c:ext>
            </c:extLst>
          </c:dPt>
          <c:dPt>
            <c:idx val="17"/>
            <c:marker>
              <c:symbol val="circle"/>
              <c:size val="5"/>
              <c:spPr>
                <a:solidFill>
                  <a:srgbClr val="0000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1-FC9F-4B08-A064-A67BCD01698F}"/>
              </c:ext>
            </c:extLst>
          </c:dPt>
          <c:dPt>
            <c:idx val="18"/>
            <c:marker>
              <c:symbol val="circle"/>
              <c:size val="5"/>
              <c:spPr>
                <a:solidFill>
                  <a:srgbClr val="0000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2-FC9F-4B08-A064-A67BCD01698F}"/>
              </c:ext>
            </c:extLst>
          </c:dPt>
          <c:dPt>
            <c:idx val="19"/>
            <c:marker>
              <c:symbol val="circle"/>
              <c:size val="5"/>
              <c:spPr>
                <a:solidFill>
                  <a:srgbClr val="0000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3-FC9F-4B08-A064-A67BCD01698F}"/>
              </c:ext>
            </c:extLst>
          </c:dPt>
          <c:dPt>
            <c:idx val="20"/>
            <c:marker>
              <c:symbol val="circle"/>
              <c:size val="5"/>
              <c:spPr>
                <a:solidFill>
                  <a:srgbClr val="0000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4-FC9F-4B08-A064-A67BCD01698F}"/>
              </c:ext>
            </c:extLst>
          </c:dPt>
          <c:dPt>
            <c:idx val="21"/>
            <c:marker>
              <c:symbol val="circle"/>
              <c:size val="5"/>
              <c:spPr>
                <a:solidFill>
                  <a:srgbClr val="0000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5-FC9F-4B08-A064-A67BCD01698F}"/>
              </c:ext>
            </c:extLst>
          </c:dPt>
          <c:dPt>
            <c:idx val="22"/>
            <c:marker>
              <c:symbol val="circle"/>
              <c:size val="5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6-FC9F-4B08-A064-A67BCD01698F}"/>
              </c:ext>
            </c:extLst>
          </c:dPt>
          <c:dPt>
            <c:idx val="23"/>
            <c:marker>
              <c:symbol val="circle"/>
              <c:size val="5"/>
              <c:spPr>
                <a:solidFill>
                  <a:srgbClr val="0000FF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7-FC9F-4B08-A064-A67BCD01698F}"/>
              </c:ext>
            </c:extLst>
          </c:dPt>
          <c:dPt>
            <c:idx val="24"/>
            <c:marker>
              <c:symbol val="circle"/>
              <c:size val="5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8-FC9F-4B08-A064-A67BCD01698F}"/>
              </c:ext>
            </c:extLst>
          </c:dPt>
          <c:dPt>
            <c:idx val="25"/>
            <c:marker>
              <c:symbol val="circle"/>
              <c:size val="5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9-FC9F-4B08-A064-A67BCD01698F}"/>
              </c:ext>
            </c:extLst>
          </c:dPt>
          <c:dPt>
            <c:idx val="26"/>
            <c:marker>
              <c:symbol val="circle"/>
              <c:size val="5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A-FC9F-4B08-A064-A67BCD01698F}"/>
              </c:ext>
            </c:extLst>
          </c:dPt>
          <c:dPt>
            <c:idx val="27"/>
            <c:marker>
              <c:symbol val="circle"/>
              <c:size val="5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B-FC9F-4B08-A064-A67BCD01698F}"/>
              </c:ext>
            </c:extLst>
          </c:dPt>
          <c:dPt>
            <c:idx val="28"/>
            <c:marker>
              <c:symbol val="circle"/>
              <c:size val="5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C-FC9F-4B08-A064-A67BCD01698F}"/>
              </c:ext>
            </c:extLst>
          </c:dPt>
          <c:dPt>
            <c:idx val="29"/>
            <c:marker>
              <c:symbol val="circle"/>
              <c:size val="5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D-FC9F-4B08-A064-A67BCD01698F}"/>
              </c:ext>
            </c:extLst>
          </c:dPt>
          <c:dPt>
            <c:idx val="30"/>
            <c:marker>
              <c:symbol val="circle"/>
              <c:size val="5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E-FC9F-4B08-A064-A67BCD01698F}"/>
              </c:ext>
            </c:extLst>
          </c:dPt>
          <c:dPt>
            <c:idx val="31"/>
            <c:marker>
              <c:symbol val="circle"/>
              <c:size val="5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F-FC9F-4B08-A064-A67BCD01698F}"/>
              </c:ext>
            </c:extLst>
          </c:dPt>
          <c:dPt>
            <c:idx val="32"/>
            <c:marker>
              <c:symbol val="circle"/>
              <c:size val="5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0-FC9F-4B08-A064-A67BCD01698F}"/>
              </c:ext>
            </c:extLst>
          </c:dPt>
          <c:dPt>
            <c:idx val="33"/>
            <c:marker>
              <c:symbol val="circle"/>
              <c:size val="5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1-FC9F-4B08-A064-A67BCD01698F}"/>
              </c:ext>
            </c:extLst>
          </c:dPt>
          <c:dPt>
            <c:idx val="34"/>
            <c:marker>
              <c:symbol val="circle"/>
              <c:size val="5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2-FC9F-4B08-A064-A67BCD01698F}"/>
              </c:ext>
            </c:extLst>
          </c:dPt>
          <c:dPt>
            <c:idx val="35"/>
            <c:marker>
              <c:symbol val="circle"/>
              <c:size val="5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3-FC9F-4B08-A064-A67BCD01698F}"/>
              </c:ext>
            </c:extLst>
          </c:dPt>
          <c:dPt>
            <c:idx val="36"/>
            <c:marker>
              <c:symbol val="circle"/>
              <c:size val="5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4-FC9F-4B08-A064-A67BCD01698F}"/>
              </c:ext>
            </c:extLst>
          </c:dPt>
          <c:dPt>
            <c:idx val="37"/>
            <c:marker>
              <c:symbol val="circle"/>
              <c:size val="5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5-FC9F-4B08-A064-A67BCD01698F}"/>
              </c:ext>
            </c:extLst>
          </c:dPt>
          <c:dPt>
            <c:idx val="38"/>
            <c:marker>
              <c:symbol val="circle"/>
              <c:size val="5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6-FC9F-4B08-A064-A67BCD01698F}"/>
              </c:ext>
            </c:extLst>
          </c:dPt>
          <c:dPt>
            <c:idx val="39"/>
            <c:marker>
              <c:symbol val="circle"/>
              <c:size val="5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7-FC9F-4B08-A064-A67BCD01698F}"/>
              </c:ext>
            </c:extLst>
          </c:dPt>
          <c:dPt>
            <c:idx val="40"/>
            <c:marker>
              <c:symbol val="circle"/>
              <c:size val="5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8-FC9F-4B08-A064-A67BCD01698F}"/>
              </c:ext>
            </c:extLst>
          </c:dPt>
          <c:dPt>
            <c:idx val="41"/>
            <c:marker>
              <c:symbol val="circle"/>
              <c:size val="5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9-FC9F-4B08-A064-A67BCD01698F}"/>
              </c:ext>
            </c:extLst>
          </c:dPt>
          <c:dPt>
            <c:idx val="42"/>
            <c:marker>
              <c:symbol val="circle"/>
              <c:size val="5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A-FC9F-4B08-A064-A67BCD01698F}"/>
              </c:ext>
            </c:extLst>
          </c:dPt>
          <c:dPt>
            <c:idx val="43"/>
            <c:marker>
              <c:symbol val="circle"/>
              <c:size val="5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B-FC9F-4B08-A064-A67BCD01698F}"/>
              </c:ext>
            </c:extLst>
          </c:dPt>
          <c:dPt>
            <c:idx val="44"/>
            <c:marker>
              <c:symbol val="circle"/>
              <c:size val="5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C-FC9F-4B08-A064-A67BCD01698F}"/>
              </c:ext>
            </c:extLst>
          </c:dPt>
          <c:dPt>
            <c:idx val="45"/>
            <c:marker>
              <c:symbol val="circle"/>
              <c:size val="5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D-FC9F-4B08-A064-A67BCD01698F}"/>
              </c:ext>
            </c:extLst>
          </c:dPt>
          <c:dPt>
            <c:idx val="46"/>
            <c:marker>
              <c:symbol val="circle"/>
              <c:size val="5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E-FC9F-4B08-A064-A67BCD01698F}"/>
              </c:ext>
            </c:extLst>
          </c:dPt>
          <c:dPt>
            <c:idx val="47"/>
            <c:marker>
              <c:symbol val="circle"/>
              <c:size val="5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F-FC9F-4B08-A064-A67BCD01698F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61446AAE-79EE-4B30-AC65-F04C26192CC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C9F-4B08-A064-A67BCD01698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78815B1-DAE2-4346-B9DC-69B9B59BE7B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C9F-4B08-A064-A67BCD01698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EDD016E-9798-4E7E-B19A-3AEE17574AE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C9F-4B08-A064-A67BCD01698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675EB42-4840-4317-A038-0E06EF31EC5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C9F-4B08-A064-A67BCD01698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58990B8-DB18-49BE-85A7-6FCCC4E5E2B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C9F-4B08-A064-A67BCD01698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F217A5C-A90F-4CC7-91F7-E73EA9E4BED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C9F-4B08-A064-A67BCD01698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1B81159-F757-451C-A886-0A69854186A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C9F-4B08-A064-A67BCD01698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19FE625-E473-4B93-95EB-710169D2B0A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C9F-4B08-A064-A67BCD01698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04C20CA-9616-445C-B780-22B220FC0B0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C9F-4B08-A064-A67BCD01698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28AFF50-E684-4A38-AD75-EF93E1A2034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C9F-4B08-A064-A67BCD01698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0ABF6B0-2CA3-4B3D-B13D-D7AFC6089D8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C9F-4B08-A064-A67BCD01698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AEDBCD5-E3AF-4684-A326-C4A44B43E2A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C9F-4B08-A064-A67BCD01698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586A89A-E09A-4043-B3A9-7EC1351AF1A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C9F-4B08-A064-A67BCD01698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B80AA6D-FF57-4973-8B51-1D48096610C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C9F-4B08-A064-A67BCD01698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7EF5B30-7027-4281-88E9-E5ECBD8EF84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C9F-4B08-A064-A67BCD01698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58163BA-CB64-4900-9E3B-CEE677A0CAD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C9F-4B08-A064-A67BCD01698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5779983-9612-4FF5-97AB-BB1F5EBBF42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C9F-4B08-A064-A67BCD01698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D700253-5EC6-4536-B408-1B04B5DBE1D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C9F-4B08-A064-A67BCD01698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03B2F7E-EB6D-45FB-AFCB-0DE41FB5839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C9F-4B08-A064-A67BCD01698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BB1874F-428A-4CA7-9528-510538F1F07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C9F-4B08-A064-A67BCD01698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FA93638-1D31-44FF-BB16-6F4F28953F1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C9F-4B08-A064-A67BCD01698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9B1CF1B-B748-4088-B205-F31C59D54B2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C9F-4B08-A064-A67BCD01698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692A42B-D536-45C3-8F8A-D7579EEDFF8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C9F-4B08-A064-A67BCD01698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DE6782A-0F2A-4472-935D-84161C77B30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C9F-4B08-A064-A67BCD01698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2D7066C-9A73-415B-B779-B2CF581859D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C9F-4B08-A064-A67BCD01698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D9110AB-3DA7-4F4B-B40C-52743320261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C9F-4B08-A064-A67BCD01698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6FCCDAB-84A6-47DA-A4CC-D3DBB671976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C9F-4B08-A064-A67BCD01698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F012CD5-6A5C-4CAB-B778-713B335C285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C9F-4B08-A064-A67BCD01698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A11B1E8-5AC7-4FBB-9F18-52215E91118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C9F-4B08-A064-A67BCD01698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E86C16E-DBE4-41F4-88C1-E5830BA7FA7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C9F-4B08-A064-A67BCD01698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D18DA2E-1EEC-46ED-8B9D-B2166881E92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C9F-4B08-A064-A67BCD01698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8F919C8-5157-48E2-A0CE-367EBB7B3E4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C9F-4B08-A064-A67BCD01698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66B5709-2FB1-4072-B0AD-39B5507F531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C9F-4B08-A064-A67BCD01698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9994175-E221-46BF-AE70-05CEB668955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C9F-4B08-A064-A67BCD01698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51464A9-E5FB-4155-8424-0CC514B3237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C9F-4B08-A064-A67BCD01698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31B9DBC-895F-4C19-BBB1-D7A330ABE45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C9F-4B08-A064-A67BCD01698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DA710BD-55CA-4447-84A6-362D29FE4D8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C9F-4B08-A064-A67BCD01698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5A8435D-4A45-4A04-A91E-69BA6AC6358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C9F-4B08-A064-A67BCD01698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4E638C7-36EA-490B-917B-C94868CF750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C9F-4B08-A064-A67BCD01698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4B764B4-EB13-4C15-B9D6-60CDF560033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C9F-4B08-A064-A67BCD01698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0882337-DA2A-4A33-8B88-6F11F5E9EBF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C9F-4B08-A064-A67BCD01698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E95763B-A3ED-4B82-B5E3-050DBEB390B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C9F-4B08-A064-A67BCD01698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39C07DA-0040-4879-8EF5-5FA37CBC700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C9F-4B08-A064-A67BCD01698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9C3FB6D-30FD-469C-85B4-3B265B7D61D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C9F-4B08-A064-A67BCD01698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1D72467-23DC-42D2-BA78-204163AB4B8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C9F-4B08-A064-A67BCD01698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E92955B-0806-47E4-BFD2-F2CDC0D4CA2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C9F-4B08-A064-A67BCD01698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8DD4D84-7311-4ED6-AB1D-B884D2AFACE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C9F-4B08-A064-A67BCD01698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5294B2A-2853-46D1-ACF9-DA3262DC700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C9F-4B08-A064-A67BCD01698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GA!$B$9:$B$56</c:f>
              <c:numCache>
                <c:formatCode>General</c:formatCode>
                <c:ptCount val="48"/>
                <c:pt idx="0">
                  <c:v>-42</c:v>
                </c:pt>
                <c:pt idx="1">
                  <c:v>-89</c:v>
                </c:pt>
                <c:pt idx="2">
                  <c:v>-19</c:v>
                </c:pt>
                <c:pt idx="3">
                  <c:v>-33</c:v>
                </c:pt>
                <c:pt idx="4">
                  <c:v>-60</c:v>
                </c:pt>
                <c:pt idx="5">
                  <c:v>-140</c:v>
                </c:pt>
                <c:pt idx="6">
                  <c:v>-125</c:v>
                </c:pt>
                <c:pt idx="7">
                  <c:v>-113</c:v>
                </c:pt>
                <c:pt idx="8">
                  <c:v>-157</c:v>
                </c:pt>
                <c:pt idx="9">
                  <c:v>-187</c:v>
                </c:pt>
                <c:pt idx="10">
                  <c:v>-195</c:v>
                </c:pt>
                <c:pt idx="11">
                  <c:v>20</c:v>
                </c:pt>
                <c:pt idx="12">
                  <c:v>5</c:v>
                </c:pt>
                <c:pt idx="13">
                  <c:v>-165</c:v>
                </c:pt>
                <c:pt idx="14">
                  <c:v>-129</c:v>
                </c:pt>
                <c:pt idx="15">
                  <c:v>-7</c:v>
                </c:pt>
                <c:pt idx="16">
                  <c:v>14</c:v>
                </c:pt>
                <c:pt idx="17">
                  <c:v>-146</c:v>
                </c:pt>
                <c:pt idx="18">
                  <c:v>-120</c:v>
                </c:pt>
                <c:pt idx="19">
                  <c:v>-37</c:v>
                </c:pt>
                <c:pt idx="20">
                  <c:v>-135</c:v>
                </c:pt>
                <c:pt idx="21">
                  <c:v>-188</c:v>
                </c:pt>
                <c:pt idx="22">
                  <c:v>6</c:v>
                </c:pt>
                <c:pt idx="23">
                  <c:v>-52</c:v>
                </c:pt>
                <c:pt idx="24">
                  <c:v>33</c:v>
                </c:pt>
                <c:pt idx="25">
                  <c:v>37</c:v>
                </c:pt>
                <c:pt idx="26">
                  <c:v>85</c:v>
                </c:pt>
                <c:pt idx="27">
                  <c:v>3</c:v>
                </c:pt>
                <c:pt idx="28">
                  <c:v>54</c:v>
                </c:pt>
                <c:pt idx="29">
                  <c:v>-20</c:v>
                </c:pt>
                <c:pt idx="30">
                  <c:v>163</c:v>
                </c:pt>
                <c:pt idx="31">
                  <c:v>166</c:v>
                </c:pt>
                <c:pt idx="32">
                  <c:v>123</c:v>
                </c:pt>
                <c:pt idx="33">
                  <c:v>-5</c:v>
                </c:pt>
                <c:pt idx="34">
                  <c:v>86</c:v>
                </c:pt>
                <c:pt idx="35">
                  <c:v>117</c:v>
                </c:pt>
                <c:pt idx="36">
                  <c:v>163</c:v>
                </c:pt>
                <c:pt idx="37">
                  <c:v>137</c:v>
                </c:pt>
                <c:pt idx="38">
                  <c:v>-1</c:v>
                </c:pt>
                <c:pt idx="39">
                  <c:v>154</c:v>
                </c:pt>
                <c:pt idx="40">
                  <c:v>64</c:v>
                </c:pt>
                <c:pt idx="41">
                  <c:v>89</c:v>
                </c:pt>
                <c:pt idx="42">
                  <c:v>168</c:v>
                </c:pt>
                <c:pt idx="43">
                  <c:v>22</c:v>
                </c:pt>
                <c:pt idx="44">
                  <c:v>-20</c:v>
                </c:pt>
                <c:pt idx="45">
                  <c:v>-14</c:v>
                </c:pt>
                <c:pt idx="46">
                  <c:v>183</c:v>
                </c:pt>
                <c:pt idx="47">
                  <c:v>193</c:v>
                </c:pt>
              </c:numCache>
            </c:numRef>
          </c:xVal>
          <c:yVal>
            <c:numRef>
              <c:f>GA!$C$9:$C$56</c:f>
              <c:numCache>
                <c:formatCode>General</c:formatCode>
                <c:ptCount val="48"/>
                <c:pt idx="0">
                  <c:v>-188</c:v>
                </c:pt>
                <c:pt idx="1">
                  <c:v>-200</c:v>
                </c:pt>
                <c:pt idx="2">
                  <c:v>-4</c:v>
                </c:pt>
                <c:pt idx="3">
                  <c:v>-39</c:v>
                </c:pt>
                <c:pt idx="4">
                  <c:v>-134</c:v>
                </c:pt>
                <c:pt idx="5">
                  <c:v>-31</c:v>
                </c:pt>
                <c:pt idx="6">
                  <c:v>-86</c:v>
                </c:pt>
                <c:pt idx="7">
                  <c:v>-138</c:v>
                </c:pt>
                <c:pt idx="8">
                  <c:v>-87</c:v>
                </c:pt>
                <c:pt idx="9">
                  <c:v>-190</c:v>
                </c:pt>
                <c:pt idx="10">
                  <c:v>3</c:v>
                </c:pt>
                <c:pt idx="11">
                  <c:v>-33</c:v>
                </c:pt>
                <c:pt idx="12">
                  <c:v>-186</c:v>
                </c:pt>
                <c:pt idx="13">
                  <c:v>-59</c:v>
                </c:pt>
                <c:pt idx="14">
                  <c:v>-24</c:v>
                </c:pt>
                <c:pt idx="15">
                  <c:v>-44</c:v>
                </c:pt>
                <c:pt idx="16">
                  <c:v>-189</c:v>
                </c:pt>
                <c:pt idx="17">
                  <c:v>-125</c:v>
                </c:pt>
                <c:pt idx="18">
                  <c:v>-145</c:v>
                </c:pt>
                <c:pt idx="19">
                  <c:v>-127</c:v>
                </c:pt>
                <c:pt idx="20">
                  <c:v>-4</c:v>
                </c:pt>
                <c:pt idx="21">
                  <c:v>-181</c:v>
                </c:pt>
                <c:pt idx="22">
                  <c:v>-39</c:v>
                </c:pt>
                <c:pt idx="23">
                  <c:v>-120</c:v>
                </c:pt>
                <c:pt idx="24">
                  <c:v>92</c:v>
                </c:pt>
                <c:pt idx="25">
                  <c:v>130</c:v>
                </c:pt>
                <c:pt idx="26">
                  <c:v>132</c:v>
                </c:pt>
                <c:pt idx="27">
                  <c:v>177</c:v>
                </c:pt>
                <c:pt idx="28">
                  <c:v>4</c:v>
                </c:pt>
                <c:pt idx="29">
                  <c:v>162</c:v>
                </c:pt>
                <c:pt idx="30">
                  <c:v>17</c:v>
                </c:pt>
                <c:pt idx="31">
                  <c:v>92</c:v>
                </c:pt>
                <c:pt idx="32">
                  <c:v>73</c:v>
                </c:pt>
                <c:pt idx="33">
                  <c:v>141</c:v>
                </c:pt>
                <c:pt idx="34">
                  <c:v>43</c:v>
                </c:pt>
                <c:pt idx="35">
                  <c:v>28</c:v>
                </c:pt>
                <c:pt idx="36">
                  <c:v>80</c:v>
                </c:pt>
                <c:pt idx="37">
                  <c:v>93</c:v>
                </c:pt>
                <c:pt idx="38">
                  <c:v>25</c:v>
                </c:pt>
                <c:pt idx="39">
                  <c:v>64</c:v>
                </c:pt>
                <c:pt idx="40">
                  <c:v>59</c:v>
                </c:pt>
                <c:pt idx="41">
                  <c:v>168</c:v>
                </c:pt>
                <c:pt idx="42">
                  <c:v>25</c:v>
                </c:pt>
                <c:pt idx="43">
                  <c:v>40</c:v>
                </c:pt>
                <c:pt idx="44">
                  <c:v>187</c:v>
                </c:pt>
                <c:pt idx="45">
                  <c:v>72</c:v>
                </c:pt>
                <c:pt idx="46">
                  <c:v>76</c:v>
                </c:pt>
                <c:pt idx="47">
                  <c:v>99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GA!$J$9:$J$56</c15:f>
                <c15:dlblRangeCache>
                  <c:ptCount val="48"/>
                  <c:pt idx="0">
                    <c:v>2</c:v>
                  </c:pt>
                  <c:pt idx="1">
                    <c:v>2</c:v>
                  </c:pt>
                  <c:pt idx="2">
                    <c:v>1</c:v>
                  </c:pt>
                  <c:pt idx="3">
                    <c:v>2</c:v>
                  </c:pt>
                  <c:pt idx="4">
                    <c:v>2</c:v>
                  </c:pt>
                  <c:pt idx="5">
                    <c:v>2</c:v>
                  </c:pt>
                  <c:pt idx="6">
                    <c:v>2</c:v>
                  </c:pt>
                  <c:pt idx="7">
                    <c:v>2</c:v>
                  </c:pt>
                  <c:pt idx="8">
                    <c:v>2</c:v>
                  </c:pt>
                  <c:pt idx="9">
                    <c:v>2</c:v>
                  </c:pt>
                  <c:pt idx="10">
                    <c:v>2</c:v>
                  </c:pt>
                  <c:pt idx="11">
                    <c:v>1</c:v>
                  </c:pt>
                  <c:pt idx="12">
                    <c:v>2</c:v>
                  </c:pt>
                  <c:pt idx="13">
                    <c:v>2</c:v>
                  </c:pt>
                  <c:pt idx="14">
                    <c:v>2</c:v>
                  </c:pt>
                  <c:pt idx="15">
                    <c:v>2</c:v>
                  </c:pt>
                  <c:pt idx="16">
                    <c:v>2</c:v>
                  </c:pt>
                  <c:pt idx="17">
                    <c:v>2</c:v>
                  </c:pt>
                  <c:pt idx="18">
                    <c:v>2</c:v>
                  </c:pt>
                  <c:pt idx="19">
                    <c:v>2</c:v>
                  </c:pt>
                  <c:pt idx="20">
                    <c:v>2</c:v>
                  </c:pt>
                  <c:pt idx="21">
                    <c:v>2</c:v>
                  </c:pt>
                  <c:pt idx="22">
                    <c:v>1</c:v>
                  </c:pt>
                  <c:pt idx="23">
                    <c:v>2</c:v>
                  </c:pt>
                  <c:pt idx="24">
                    <c:v>1</c:v>
                  </c:pt>
                  <c:pt idx="25">
                    <c:v>1</c:v>
                  </c:pt>
                  <c:pt idx="26">
                    <c:v>1</c:v>
                  </c:pt>
                  <c:pt idx="27">
                    <c:v>1</c:v>
                  </c:pt>
                  <c:pt idx="28">
                    <c:v>1</c:v>
                  </c:pt>
                  <c:pt idx="29">
                    <c:v>1</c:v>
                  </c:pt>
                  <c:pt idx="30">
                    <c:v>1</c:v>
                  </c:pt>
                  <c:pt idx="31">
                    <c:v>1</c:v>
                  </c:pt>
                  <c:pt idx="32">
                    <c:v>1</c:v>
                  </c:pt>
                  <c:pt idx="33">
                    <c:v>1</c:v>
                  </c:pt>
                  <c:pt idx="34">
                    <c:v>1</c:v>
                  </c:pt>
                  <c:pt idx="35">
                    <c:v>1</c:v>
                  </c:pt>
                  <c:pt idx="36">
                    <c:v>1</c:v>
                  </c:pt>
                  <c:pt idx="37">
                    <c:v>1</c:v>
                  </c:pt>
                  <c:pt idx="38">
                    <c:v>1</c:v>
                  </c:pt>
                  <c:pt idx="39">
                    <c:v>1</c:v>
                  </c:pt>
                  <c:pt idx="40">
                    <c:v>1</c:v>
                  </c:pt>
                  <c:pt idx="41">
                    <c:v>1</c:v>
                  </c:pt>
                  <c:pt idx="42">
                    <c:v>1</c:v>
                  </c:pt>
                  <c:pt idx="43">
                    <c:v>1</c:v>
                  </c:pt>
                  <c:pt idx="44">
                    <c:v>1</c:v>
                  </c:pt>
                  <c:pt idx="45">
                    <c:v>1</c:v>
                  </c:pt>
                  <c:pt idx="46">
                    <c:v>1</c:v>
                  </c:pt>
                  <c:pt idx="47">
                    <c:v>1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30-FC9F-4B08-A064-A67BCD01698F}"/>
            </c:ext>
          </c:extLst>
        </c:ser>
        <c:ser>
          <c:idx val="1"/>
          <c:order val="1"/>
          <c:tx>
            <c:strRef>
              <c:f>GA!$D$2</c:f>
              <c:strCache>
                <c:ptCount val="1"/>
                <c:pt idx="0">
                  <c:v>centroid 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x"/>
            <c:size val="20"/>
            <c:spPr>
              <a:noFill/>
              <a:ln w="31750">
                <a:solidFill>
                  <a:srgbClr val="FF0000"/>
                </a:solidFill>
              </a:ln>
              <a:effectLst/>
            </c:spPr>
          </c:marker>
          <c:xVal>
            <c:numRef>
              <c:f>GA!$D$4</c:f>
              <c:numCache>
                <c:formatCode>General</c:formatCode>
                <c:ptCount val="1"/>
                <c:pt idx="0">
                  <c:v>73.592592592592595</c:v>
                </c:pt>
              </c:numCache>
            </c:numRef>
          </c:xVal>
          <c:yVal>
            <c:numRef>
              <c:f>GA!$E$4</c:f>
              <c:numCache>
                <c:formatCode>General</c:formatCode>
                <c:ptCount val="1"/>
                <c:pt idx="0">
                  <c:v>74.18518518518519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FC9F-4B08-A064-A67BCD01698F}"/>
            </c:ext>
          </c:extLst>
        </c:ser>
        <c:ser>
          <c:idx val="2"/>
          <c:order val="2"/>
          <c:tx>
            <c:strRef>
              <c:f>GA!$G$2</c:f>
              <c:strCache>
                <c:ptCount val="1"/>
                <c:pt idx="0">
                  <c:v>centroid 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plus"/>
            <c:size val="20"/>
            <c:spPr>
              <a:noFill/>
              <a:ln w="31750">
                <a:solidFill>
                  <a:srgbClr val="0000FF"/>
                </a:solidFill>
              </a:ln>
              <a:effectLst/>
            </c:spPr>
          </c:marker>
          <c:xVal>
            <c:numRef>
              <c:f>GA!$G$4</c:f>
              <c:numCache>
                <c:formatCode>General</c:formatCode>
                <c:ptCount val="1"/>
                <c:pt idx="0">
                  <c:v>-100.04761904761905</c:v>
                </c:pt>
              </c:numCache>
            </c:numRef>
          </c:xVal>
          <c:yVal>
            <c:numRef>
              <c:f>GA!$H$4</c:f>
              <c:numCache>
                <c:formatCode>General</c:formatCode>
                <c:ptCount val="1"/>
                <c:pt idx="0">
                  <c:v>-109.23809523809524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FC9F-4B08-A064-A67BCD0169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4763792"/>
        <c:axId val="1114753712"/>
      </c:scatterChart>
      <c:valAx>
        <c:axId val="1114763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4753712"/>
        <c:crosses val="autoZero"/>
        <c:crossBetween val="midCat"/>
      </c:valAx>
      <c:valAx>
        <c:axId val="111475371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47637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281660</xdr:colOff>
      <xdr:row>8</xdr:row>
      <xdr:rowOff>85994</xdr:rowOff>
    </xdr:from>
    <xdr:to>
      <xdr:col>17</xdr:col>
      <xdr:colOff>586460</xdr:colOff>
      <xdr:row>32</xdr:row>
      <xdr:rowOff>167576</xdr:rowOff>
    </xdr:to>
    <xdr:graphicFrame macro="">
      <xdr:nvGraphicFramePr>
        <xdr:cNvPr id="4" name="ScatterPlotChart">
          <a:extLst>
            <a:ext uri="{FF2B5EF4-FFF2-40B4-BE49-F238E27FC236}">
              <a16:creationId xmlns:a16="http://schemas.microsoft.com/office/drawing/2014/main" id="{96B020D7-461D-4D20-BD44-72E6F40DB9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</xdr:row>
          <xdr:rowOff>0</xdr:rowOff>
        </xdr:from>
        <xdr:to>
          <xdr:col>13</xdr:col>
          <xdr:colOff>609600</xdr:colOff>
          <xdr:row>2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Initialize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4</xdr:row>
          <xdr:rowOff>19050</xdr:rowOff>
        </xdr:from>
        <xdr:to>
          <xdr:col>13</xdr:col>
          <xdr:colOff>600075</xdr:colOff>
          <xdr:row>4</xdr:row>
          <xdr:rowOff>180975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Iterate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6</xdr:row>
          <xdr:rowOff>9525</xdr:rowOff>
        </xdr:from>
        <xdr:to>
          <xdr:col>14</xdr:col>
          <xdr:colOff>0</xdr:colOff>
          <xdr:row>6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0</xdr:row>
          <xdr:rowOff>0</xdr:rowOff>
        </xdr:from>
        <xdr:to>
          <xdr:col>14</xdr:col>
          <xdr:colOff>9525</xdr:colOff>
          <xdr:row>0</xdr:row>
          <xdr:rowOff>180975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Centroids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238125</xdr:colOff>
      <xdr:row>8</xdr:row>
      <xdr:rowOff>66675</xdr:rowOff>
    </xdr:from>
    <xdr:to>
      <xdr:col>17</xdr:col>
      <xdr:colOff>561975</xdr:colOff>
      <xdr:row>32</xdr:row>
      <xdr:rowOff>97457</xdr:rowOff>
    </xdr:to>
    <xdr:graphicFrame macro="">
      <xdr:nvGraphicFramePr>
        <xdr:cNvPr id="2" name="ScatterPlotChart2">
          <a:extLst>
            <a:ext uri="{FF2B5EF4-FFF2-40B4-BE49-F238E27FC236}">
              <a16:creationId xmlns:a16="http://schemas.microsoft.com/office/drawing/2014/main" id="{7490C62D-7629-4EB0-A0C2-2149635D71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590550</xdr:colOff>
          <xdr:row>6</xdr:row>
          <xdr:rowOff>0</xdr:rowOff>
        </xdr:from>
        <xdr:to>
          <xdr:col>12</xdr:col>
          <xdr:colOff>590550</xdr:colOff>
          <xdr:row>6</xdr:row>
          <xdr:rowOff>171450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Recolor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4</xdr:row>
          <xdr:rowOff>9525</xdr:rowOff>
        </xdr:from>
        <xdr:to>
          <xdr:col>13</xdr:col>
          <xdr:colOff>0</xdr:colOff>
          <xdr:row>5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GA Solver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2BDF2-D76B-465B-A039-82C5FC417495}">
  <sheetPr codeName="Sheet1"/>
  <dimension ref="A2:J59"/>
  <sheetViews>
    <sheetView tabSelected="1" zoomScaleNormal="100" workbookViewId="0">
      <selection activeCell="B8" sqref="B8"/>
    </sheetView>
  </sheetViews>
  <sheetFormatPr defaultRowHeight="15" x14ac:dyDescent="0.25"/>
  <cols>
    <col min="2" max="2" width="12" style="1" bestFit="1" customWidth="1"/>
    <col min="3" max="9" width="8.7109375" style="1"/>
    <col min="10" max="10" width="15.7109375" bestFit="1" customWidth="1"/>
  </cols>
  <sheetData>
    <row r="2" spans="2:10" x14ac:dyDescent="0.25">
      <c r="D2" s="18" t="s">
        <v>3</v>
      </c>
      <c r="E2" s="18"/>
      <c r="G2" s="18" t="s">
        <v>4</v>
      </c>
      <c r="H2" s="18"/>
      <c r="J2" t="s">
        <v>12</v>
      </c>
    </row>
    <row r="3" spans="2:10" x14ac:dyDescent="0.25">
      <c r="D3" s="1" t="s">
        <v>0</v>
      </c>
      <c r="E3" s="1" t="s">
        <v>1</v>
      </c>
      <c r="G3" s="1" t="s">
        <v>0</v>
      </c>
      <c r="H3" s="1" t="s">
        <v>1</v>
      </c>
      <c r="J3">
        <v>20</v>
      </c>
    </row>
    <row r="4" spans="2:10" x14ac:dyDescent="0.25">
      <c r="C4" s="1" t="s">
        <v>7</v>
      </c>
      <c r="D4" s="1">
        <v>-87.25</v>
      </c>
      <c r="E4" s="1">
        <v>-98.75</v>
      </c>
      <c r="G4" s="1">
        <v>82.5</v>
      </c>
      <c r="H4" s="1">
        <v>86.625</v>
      </c>
      <c r="J4" t="s">
        <v>11</v>
      </c>
    </row>
    <row r="5" spans="2:10" x14ac:dyDescent="0.25">
      <c r="C5" s="1" t="s">
        <v>8</v>
      </c>
      <c r="D5" s="1">
        <f ca="1">AVERAGEIFS(B9:B56,J9:J56,1)</f>
        <v>-87.25</v>
      </c>
      <c r="E5" s="1">
        <f ca="1">AVERAGEIFS(C9:C56,J9:J56,1)</f>
        <v>-98.75</v>
      </c>
      <c r="G5" s="1">
        <f ca="1">AVERAGEIFS(B9:B56,J9:J56,2)</f>
        <v>82.5</v>
      </c>
      <c r="H5" s="1">
        <f ca="1">AVERAGEIFS(C9:C56,J9:J56,2)</f>
        <v>86.625</v>
      </c>
      <c r="J5">
        <v>2</v>
      </c>
    </row>
    <row r="7" spans="2:10" ht="15.75" thickBot="1" x14ac:dyDescent="0.3">
      <c r="B7" s="18" t="s">
        <v>2</v>
      </c>
      <c r="C7" s="18"/>
      <c r="D7" s="18" t="s">
        <v>3</v>
      </c>
      <c r="E7" s="18"/>
      <c r="F7" s="18"/>
      <c r="G7" s="18" t="s">
        <v>3</v>
      </c>
      <c r="H7" s="18"/>
      <c r="I7" s="18"/>
    </row>
    <row r="8" spans="2:10" ht="15.75" thickBot="1" x14ac:dyDescent="0.3">
      <c r="B8" s="10" t="s">
        <v>0</v>
      </c>
      <c r="C8" s="11" t="s">
        <v>1</v>
      </c>
      <c r="D8" s="10" t="s">
        <v>0</v>
      </c>
      <c r="E8" s="12" t="s">
        <v>1</v>
      </c>
      <c r="F8" s="11" t="s">
        <v>5</v>
      </c>
      <c r="G8" s="10" t="s">
        <v>0</v>
      </c>
      <c r="H8" s="12" t="s">
        <v>1</v>
      </c>
      <c r="I8" s="11" t="s">
        <v>5</v>
      </c>
      <c r="J8" s="13" t="s">
        <v>6</v>
      </c>
    </row>
    <row r="9" spans="2:10" x14ac:dyDescent="0.25">
      <c r="B9" s="5">
        <v>-42</v>
      </c>
      <c r="C9" s="6">
        <v>-188</v>
      </c>
      <c r="D9" s="2">
        <f t="shared" ref="D9:E9" si="0">(B9-D$4)</f>
        <v>45.25</v>
      </c>
      <c r="E9" s="4">
        <f t="shared" si="0"/>
        <v>-89.25</v>
      </c>
      <c r="F9" s="3">
        <f>SQRT(D9^2+E9^2)</f>
        <v>100.06560348091647</v>
      </c>
      <c r="G9" s="2">
        <f t="shared" ref="G9:H9" si="1">(B9-G$4)</f>
        <v>-124.5</v>
      </c>
      <c r="H9" s="4">
        <f t="shared" si="1"/>
        <v>-274.625</v>
      </c>
      <c r="I9" s="3">
        <f>SQRT(G9^2+H9^2)</f>
        <v>301.52800968566748</v>
      </c>
      <c r="J9" s="14">
        <f t="shared" ref="J9:J56" ca="1" si="2">IF(F9=I9,RANDBETWEEN(1,2),IF(F9&lt;I9,1,2))</f>
        <v>1</v>
      </c>
    </row>
    <row r="10" spans="2:10" x14ac:dyDescent="0.25">
      <c r="B10" s="5">
        <v>-89</v>
      </c>
      <c r="C10" s="6">
        <v>-200</v>
      </c>
      <c r="D10" s="5">
        <f t="shared" ref="D10:D56" si="3">(B10-D$4)</f>
        <v>-1.75</v>
      </c>
      <c r="E10" s="1">
        <f t="shared" ref="E10:E56" si="4">(C10-E$4)</f>
        <v>-101.25</v>
      </c>
      <c r="F10" s="6">
        <f t="shared" ref="F10:F56" si="5">SQRT(D10^2+E10^2)</f>
        <v>101.26512232748253</v>
      </c>
      <c r="G10" s="5">
        <f t="shared" ref="G10:G56" si="6">(B10-G$4)</f>
        <v>-171.5</v>
      </c>
      <c r="H10" s="1">
        <f t="shared" ref="H10:H56" si="7">(C10-H$4)</f>
        <v>-286.625</v>
      </c>
      <c r="I10" s="6">
        <f t="shared" ref="I10:I56" si="8">SQRT(G10^2+H10^2)</f>
        <v>334.01518023137811</v>
      </c>
      <c r="J10" s="15">
        <f t="shared" ca="1" si="2"/>
        <v>1</v>
      </c>
    </row>
    <row r="11" spans="2:10" x14ac:dyDescent="0.25">
      <c r="B11" s="5">
        <v>-19</v>
      </c>
      <c r="C11" s="6">
        <v>-4</v>
      </c>
      <c r="D11" s="5">
        <f t="shared" si="3"/>
        <v>68.25</v>
      </c>
      <c r="E11" s="1">
        <f t="shared" si="4"/>
        <v>94.75</v>
      </c>
      <c r="F11" s="6">
        <f t="shared" si="5"/>
        <v>116.77167892943905</v>
      </c>
      <c r="G11" s="5">
        <f t="shared" si="6"/>
        <v>-101.5</v>
      </c>
      <c r="H11" s="1">
        <f t="shared" si="7"/>
        <v>-90.625</v>
      </c>
      <c r="I11" s="6">
        <f t="shared" si="8"/>
        <v>136.07035174864509</v>
      </c>
      <c r="J11" s="15">
        <f t="shared" ca="1" si="2"/>
        <v>1</v>
      </c>
    </row>
    <row r="12" spans="2:10" x14ac:dyDescent="0.25">
      <c r="B12" s="5">
        <v>-33</v>
      </c>
      <c r="C12" s="6">
        <v>-39</v>
      </c>
      <c r="D12" s="5">
        <f t="shared" si="3"/>
        <v>54.25</v>
      </c>
      <c r="E12" s="1">
        <f t="shared" si="4"/>
        <v>59.75</v>
      </c>
      <c r="F12" s="6">
        <f t="shared" si="5"/>
        <v>80.703934228759877</v>
      </c>
      <c r="G12" s="5">
        <f t="shared" si="6"/>
        <v>-115.5</v>
      </c>
      <c r="H12" s="1">
        <f t="shared" si="7"/>
        <v>-125.625</v>
      </c>
      <c r="I12" s="6">
        <f t="shared" si="8"/>
        <v>170.65137158839363</v>
      </c>
      <c r="J12" s="15">
        <f t="shared" ca="1" si="2"/>
        <v>1</v>
      </c>
    </row>
    <row r="13" spans="2:10" x14ac:dyDescent="0.25">
      <c r="B13" s="5">
        <v>-60</v>
      </c>
      <c r="C13" s="6">
        <v>-134</v>
      </c>
      <c r="D13" s="5">
        <f t="shared" si="3"/>
        <v>27.25</v>
      </c>
      <c r="E13" s="1">
        <f t="shared" si="4"/>
        <v>-35.25</v>
      </c>
      <c r="F13" s="6">
        <f t="shared" si="5"/>
        <v>44.55474161074217</v>
      </c>
      <c r="G13" s="5">
        <f t="shared" si="6"/>
        <v>-142.5</v>
      </c>
      <c r="H13" s="1">
        <f t="shared" si="7"/>
        <v>-220.625</v>
      </c>
      <c r="I13" s="6">
        <f t="shared" si="8"/>
        <v>262.6435619332787</v>
      </c>
      <c r="J13" s="15">
        <f t="shared" ca="1" si="2"/>
        <v>1</v>
      </c>
    </row>
    <row r="14" spans="2:10" x14ac:dyDescent="0.25">
      <c r="B14" s="5">
        <v>-140</v>
      </c>
      <c r="C14" s="6">
        <v>-31</v>
      </c>
      <c r="D14" s="5">
        <f t="shared" si="3"/>
        <v>-52.75</v>
      </c>
      <c r="E14" s="1">
        <f t="shared" si="4"/>
        <v>67.75</v>
      </c>
      <c r="F14" s="6">
        <f t="shared" si="5"/>
        <v>85.863991288548888</v>
      </c>
      <c r="G14" s="5">
        <f t="shared" si="6"/>
        <v>-222.5</v>
      </c>
      <c r="H14" s="1">
        <f t="shared" si="7"/>
        <v>-117.625</v>
      </c>
      <c r="I14" s="6">
        <f t="shared" si="8"/>
        <v>251.67814888265528</v>
      </c>
      <c r="J14" s="15">
        <f t="shared" ca="1" si="2"/>
        <v>1</v>
      </c>
    </row>
    <row r="15" spans="2:10" x14ac:dyDescent="0.25">
      <c r="B15" s="5">
        <v>-125</v>
      </c>
      <c r="C15" s="6">
        <v>-86</v>
      </c>
      <c r="D15" s="5">
        <f t="shared" si="3"/>
        <v>-37.75</v>
      </c>
      <c r="E15" s="1">
        <f t="shared" si="4"/>
        <v>12.75</v>
      </c>
      <c r="F15" s="6">
        <f t="shared" si="5"/>
        <v>39.845012234908395</v>
      </c>
      <c r="G15" s="5">
        <f t="shared" si="6"/>
        <v>-207.5</v>
      </c>
      <c r="H15" s="1">
        <f t="shared" si="7"/>
        <v>-172.625</v>
      </c>
      <c r="I15" s="6">
        <f t="shared" si="8"/>
        <v>269.91784050892227</v>
      </c>
      <c r="J15" s="15">
        <f t="shared" ca="1" si="2"/>
        <v>1</v>
      </c>
    </row>
    <row r="16" spans="2:10" x14ac:dyDescent="0.25">
      <c r="B16" s="5">
        <v>-113</v>
      </c>
      <c r="C16" s="6">
        <v>-138</v>
      </c>
      <c r="D16" s="5">
        <f t="shared" si="3"/>
        <v>-25.75</v>
      </c>
      <c r="E16" s="1">
        <f t="shared" si="4"/>
        <v>-39.25</v>
      </c>
      <c r="F16" s="6">
        <f t="shared" si="5"/>
        <v>46.942784323045856</v>
      </c>
      <c r="G16" s="5">
        <f t="shared" si="6"/>
        <v>-195.5</v>
      </c>
      <c r="H16" s="1">
        <f t="shared" si="7"/>
        <v>-224.625</v>
      </c>
      <c r="I16" s="6">
        <f t="shared" si="8"/>
        <v>297.78623310186788</v>
      </c>
      <c r="J16" s="15">
        <f t="shared" ca="1" si="2"/>
        <v>1</v>
      </c>
    </row>
    <row r="17" spans="2:10" x14ac:dyDescent="0.25">
      <c r="B17" s="5">
        <v>-157</v>
      </c>
      <c r="C17" s="6">
        <v>-87</v>
      </c>
      <c r="D17" s="5">
        <f t="shared" si="3"/>
        <v>-69.75</v>
      </c>
      <c r="E17" s="1">
        <f t="shared" si="4"/>
        <v>11.75</v>
      </c>
      <c r="F17" s="6">
        <f t="shared" si="5"/>
        <v>70.732771753975541</v>
      </c>
      <c r="G17" s="5">
        <f t="shared" si="6"/>
        <v>-239.5</v>
      </c>
      <c r="H17" s="1">
        <f t="shared" si="7"/>
        <v>-173.625</v>
      </c>
      <c r="I17" s="6">
        <f t="shared" si="8"/>
        <v>295.81394596097056</v>
      </c>
      <c r="J17" s="15">
        <f t="shared" ca="1" si="2"/>
        <v>1</v>
      </c>
    </row>
    <row r="18" spans="2:10" x14ac:dyDescent="0.25">
      <c r="B18" s="5">
        <v>-187</v>
      </c>
      <c r="C18" s="6">
        <v>-190</v>
      </c>
      <c r="D18" s="5">
        <f t="shared" si="3"/>
        <v>-99.75</v>
      </c>
      <c r="E18" s="1">
        <f t="shared" si="4"/>
        <v>-91.25</v>
      </c>
      <c r="F18" s="6">
        <f t="shared" si="5"/>
        <v>135.19106849196805</v>
      </c>
      <c r="G18" s="5">
        <f t="shared" si="6"/>
        <v>-269.5</v>
      </c>
      <c r="H18" s="1">
        <f t="shared" si="7"/>
        <v>-276.625</v>
      </c>
      <c r="I18" s="6">
        <f t="shared" si="8"/>
        <v>386.20155440520949</v>
      </c>
      <c r="J18" s="15">
        <f t="shared" ca="1" si="2"/>
        <v>1</v>
      </c>
    </row>
    <row r="19" spans="2:10" x14ac:dyDescent="0.25">
      <c r="B19" s="5">
        <v>-195</v>
      </c>
      <c r="C19" s="6">
        <v>3</v>
      </c>
      <c r="D19" s="5">
        <f t="shared" si="3"/>
        <v>-107.75</v>
      </c>
      <c r="E19" s="1">
        <f t="shared" si="4"/>
        <v>101.75</v>
      </c>
      <c r="F19" s="6">
        <f t="shared" si="5"/>
        <v>148.19961201028835</v>
      </c>
      <c r="G19" s="5">
        <f t="shared" si="6"/>
        <v>-277.5</v>
      </c>
      <c r="H19" s="1">
        <f t="shared" si="7"/>
        <v>-83.625</v>
      </c>
      <c r="I19" s="6">
        <f t="shared" si="8"/>
        <v>289.82648365013159</v>
      </c>
      <c r="J19" s="15">
        <f t="shared" ca="1" si="2"/>
        <v>1</v>
      </c>
    </row>
    <row r="20" spans="2:10" x14ac:dyDescent="0.25">
      <c r="B20" s="5">
        <v>20</v>
      </c>
      <c r="C20" s="6">
        <v>-33</v>
      </c>
      <c r="D20" s="5">
        <f t="shared" si="3"/>
        <v>107.25</v>
      </c>
      <c r="E20" s="1">
        <f t="shared" si="4"/>
        <v>65.75</v>
      </c>
      <c r="F20" s="6">
        <f t="shared" si="5"/>
        <v>125.79994038154391</v>
      </c>
      <c r="G20" s="5">
        <f t="shared" si="6"/>
        <v>-62.5</v>
      </c>
      <c r="H20" s="1">
        <f t="shared" si="7"/>
        <v>-119.625</v>
      </c>
      <c r="I20" s="6">
        <f t="shared" si="8"/>
        <v>134.96810965928211</v>
      </c>
      <c r="J20" s="15">
        <f t="shared" ca="1" si="2"/>
        <v>1</v>
      </c>
    </row>
    <row r="21" spans="2:10" x14ac:dyDescent="0.25">
      <c r="B21" s="5">
        <v>5</v>
      </c>
      <c r="C21" s="6">
        <v>-186</v>
      </c>
      <c r="D21" s="5">
        <f t="shared" si="3"/>
        <v>92.25</v>
      </c>
      <c r="E21" s="1">
        <f t="shared" si="4"/>
        <v>-87.25</v>
      </c>
      <c r="F21" s="6">
        <f t="shared" si="5"/>
        <v>126.97489909426982</v>
      </c>
      <c r="G21" s="5">
        <f t="shared" si="6"/>
        <v>-77.5</v>
      </c>
      <c r="H21" s="1">
        <f t="shared" si="7"/>
        <v>-272.625</v>
      </c>
      <c r="I21" s="6">
        <f t="shared" si="8"/>
        <v>283.4266053584243</v>
      </c>
      <c r="J21" s="15">
        <f t="shared" ca="1" si="2"/>
        <v>1</v>
      </c>
    </row>
    <row r="22" spans="2:10" x14ac:dyDescent="0.25">
      <c r="B22" s="5">
        <v>-165</v>
      </c>
      <c r="C22" s="6">
        <v>-59</v>
      </c>
      <c r="D22" s="5">
        <f t="shared" si="3"/>
        <v>-77.75</v>
      </c>
      <c r="E22" s="1">
        <f t="shared" si="4"/>
        <v>39.75</v>
      </c>
      <c r="F22" s="6">
        <f t="shared" si="5"/>
        <v>87.321961727849427</v>
      </c>
      <c r="G22" s="5">
        <f t="shared" si="6"/>
        <v>-247.5</v>
      </c>
      <c r="H22" s="1">
        <f t="shared" si="7"/>
        <v>-145.625</v>
      </c>
      <c r="I22" s="6">
        <f t="shared" si="8"/>
        <v>287.16352593078392</v>
      </c>
      <c r="J22" s="15">
        <f t="shared" ca="1" si="2"/>
        <v>1</v>
      </c>
    </row>
    <row r="23" spans="2:10" x14ac:dyDescent="0.25">
      <c r="B23" s="5">
        <v>-129</v>
      </c>
      <c r="C23" s="6">
        <v>-24</v>
      </c>
      <c r="D23" s="5">
        <f t="shared" si="3"/>
        <v>-41.75</v>
      </c>
      <c r="E23" s="1">
        <f t="shared" si="4"/>
        <v>74.75</v>
      </c>
      <c r="F23" s="6">
        <f t="shared" si="5"/>
        <v>85.619069137663487</v>
      </c>
      <c r="G23" s="5">
        <f t="shared" si="6"/>
        <v>-211.5</v>
      </c>
      <c r="H23" s="1">
        <f t="shared" si="7"/>
        <v>-110.625</v>
      </c>
      <c r="I23" s="6">
        <f t="shared" si="8"/>
        <v>238.68418595499787</v>
      </c>
      <c r="J23" s="15">
        <f t="shared" ca="1" si="2"/>
        <v>1</v>
      </c>
    </row>
    <row r="24" spans="2:10" x14ac:dyDescent="0.25">
      <c r="B24" s="5">
        <v>-7</v>
      </c>
      <c r="C24" s="6">
        <v>-44</v>
      </c>
      <c r="D24" s="5">
        <f t="shared" si="3"/>
        <v>80.25</v>
      </c>
      <c r="E24" s="1">
        <f t="shared" si="4"/>
        <v>54.75</v>
      </c>
      <c r="F24" s="6">
        <f t="shared" si="5"/>
        <v>97.147439492762757</v>
      </c>
      <c r="G24" s="5">
        <f t="shared" si="6"/>
        <v>-89.5</v>
      </c>
      <c r="H24" s="1">
        <f t="shared" si="7"/>
        <v>-130.625</v>
      </c>
      <c r="I24" s="6">
        <f t="shared" si="8"/>
        <v>158.34500505225924</v>
      </c>
      <c r="J24" s="15">
        <f t="shared" ca="1" si="2"/>
        <v>1</v>
      </c>
    </row>
    <row r="25" spans="2:10" x14ac:dyDescent="0.25">
      <c r="B25" s="5">
        <v>14</v>
      </c>
      <c r="C25" s="6">
        <v>-189</v>
      </c>
      <c r="D25" s="5">
        <f t="shared" si="3"/>
        <v>101.25</v>
      </c>
      <c r="E25" s="1">
        <f t="shared" si="4"/>
        <v>-90.25</v>
      </c>
      <c r="F25" s="6">
        <f t="shared" si="5"/>
        <v>135.63415867693507</v>
      </c>
      <c r="G25" s="5">
        <f t="shared" si="6"/>
        <v>-68.5</v>
      </c>
      <c r="H25" s="1">
        <f t="shared" si="7"/>
        <v>-275.625</v>
      </c>
      <c r="I25" s="6">
        <f t="shared" si="8"/>
        <v>284.00949037840269</v>
      </c>
      <c r="J25" s="15">
        <f t="shared" ca="1" si="2"/>
        <v>1</v>
      </c>
    </row>
    <row r="26" spans="2:10" x14ac:dyDescent="0.25">
      <c r="B26" s="5">
        <v>-146</v>
      </c>
      <c r="C26" s="6">
        <v>-125</v>
      </c>
      <c r="D26" s="5">
        <f t="shared" si="3"/>
        <v>-58.75</v>
      </c>
      <c r="E26" s="1">
        <f t="shared" si="4"/>
        <v>-26.25</v>
      </c>
      <c r="F26" s="6">
        <f t="shared" si="5"/>
        <v>64.347688381168751</v>
      </c>
      <c r="G26" s="5">
        <f t="shared" si="6"/>
        <v>-228.5</v>
      </c>
      <c r="H26" s="1">
        <f t="shared" si="7"/>
        <v>-211.625</v>
      </c>
      <c r="I26" s="6">
        <f t="shared" si="8"/>
        <v>311.44404092067646</v>
      </c>
      <c r="J26" s="15">
        <f t="shared" ca="1" si="2"/>
        <v>1</v>
      </c>
    </row>
    <row r="27" spans="2:10" x14ac:dyDescent="0.25">
      <c r="B27" s="5">
        <v>-120</v>
      </c>
      <c r="C27" s="6">
        <v>-145</v>
      </c>
      <c r="D27" s="5">
        <f t="shared" si="3"/>
        <v>-32.75</v>
      </c>
      <c r="E27" s="1">
        <f t="shared" si="4"/>
        <v>-46.25</v>
      </c>
      <c r="F27" s="6">
        <f t="shared" si="5"/>
        <v>56.671200798994896</v>
      </c>
      <c r="G27" s="5">
        <f t="shared" si="6"/>
        <v>-202.5</v>
      </c>
      <c r="H27" s="1">
        <f t="shared" si="7"/>
        <v>-231.625</v>
      </c>
      <c r="I27" s="6">
        <f t="shared" si="8"/>
        <v>307.66278719565679</v>
      </c>
      <c r="J27" s="15">
        <f t="shared" ca="1" si="2"/>
        <v>1</v>
      </c>
    </row>
    <row r="28" spans="2:10" x14ac:dyDescent="0.25">
      <c r="B28" s="5">
        <v>-37</v>
      </c>
      <c r="C28" s="6">
        <v>-127</v>
      </c>
      <c r="D28" s="5">
        <f t="shared" si="3"/>
        <v>50.25</v>
      </c>
      <c r="E28" s="1">
        <f t="shared" si="4"/>
        <v>-28.25</v>
      </c>
      <c r="F28" s="6">
        <f t="shared" si="5"/>
        <v>57.646552368723668</v>
      </c>
      <c r="G28" s="5">
        <f t="shared" si="6"/>
        <v>-119.5</v>
      </c>
      <c r="H28" s="1">
        <f t="shared" si="7"/>
        <v>-213.625</v>
      </c>
      <c r="I28" s="6">
        <f t="shared" si="8"/>
        <v>244.77722652444609</v>
      </c>
      <c r="J28" s="15">
        <f t="shared" ca="1" si="2"/>
        <v>1</v>
      </c>
    </row>
    <row r="29" spans="2:10" x14ac:dyDescent="0.25">
      <c r="B29" s="5">
        <v>-135</v>
      </c>
      <c r="C29" s="6">
        <v>-4</v>
      </c>
      <c r="D29" s="5">
        <f t="shared" si="3"/>
        <v>-47.75</v>
      </c>
      <c r="E29" s="1">
        <f t="shared" si="4"/>
        <v>94.75</v>
      </c>
      <c r="F29" s="6">
        <f t="shared" si="5"/>
        <v>106.10195568414373</v>
      </c>
      <c r="G29" s="5">
        <f t="shared" si="6"/>
        <v>-217.5</v>
      </c>
      <c r="H29" s="1">
        <f t="shared" si="7"/>
        <v>-90.625</v>
      </c>
      <c r="I29" s="6">
        <f t="shared" si="8"/>
        <v>235.625</v>
      </c>
      <c r="J29" s="15">
        <f t="shared" ca="1" si="2"/>
        <v>1</v>
      </c>
    </row>
    <row r="30" spans="2:10" x14ac:dyDescent="0.25">
      <c r="B30" s="5">
        <v>-188</v>
      </c>
      <c r="C30" s="6">
        <v>-181</v>
      </c>
      <c r="D30" s="5">
        <f t="shared" si="3"/>
        <v>-100.75</v>
      </c>
      <c r="E30" s="1">
        <f t="shared" si="4"/>
        <v>-82.25</v>
      </c>
      <c r="F30" s="6">
        <f t="shared" si="5"/>
        <v>130.06008226969564</v>
      </c>
      <c r="G30" s="5">
        <f t="shared" si="6"/>
        <v>-270.5</v>
      </c>
      <c r="H30" s="1">
        <f t="shared" si="7"/>
        <v>-267.625</v>
      </c>
      <c r="I30" s="6">
        <f t="shared" si="8"/>
        <v>380.51726718376398</v>
      </c>
      <c r="J30" s="15">
        <f t="shared" ca="1" si="2"/>
        <v>1</v>
      </c>
    </row>
    <row r="31" spans="2:10" x14ac:dyDescent="0.25">
      <c r="B31" s="5">
        <v>6</v>
      </c>
      <c r="C31" s="6">
        <v>-39</v>
      </c>
      <c r="D31" s="5">
        <f t="shared" si="3"/>
        <v>93.25</v>
      </c>
      <c r="E31" s="1">
        <f t="shared" si="4"/>
        <v>59.75</v>
      </c>
      <c r="F31" s="6">
        <f t="shared" si="5"/>
        <v>110.75028216668343</v>
      </c>
      <c r="G31" s="5">
        <f t="shared" si="6"/>
        <v>-76.5</v>
      </c>
      <c r="H31" s="1">
        <f t="shared" si="7"/>
        <v>-125.625</v>
      </c>
      <c r="I31" s="6">
        <f t="shared" si="8"/>
        <v>147.08463762405646</v>
      </c>
      <c r="J31" s="15">
        <f t="shared" ca="1" si="2"/>
        <v>1</v>
      </c>
    </row>
    <row r="32" spans="2:10" x14ac:dyDescent="0.25">
      <c r="B32" s="5">
        <v>-52</v>
      </c>
      <c r="C32" s="6">
        <v>-120</v>
      </c>
      <c r="D32" s="5">
        <f t="shared" si="3"/>
        <v>35.25</v>
      </c>
      <c r="E32" s="1">
        <f t="shared" si="4"/>
        <v>-21.25</v>
      </c>
      <c r="F32" s="6">
        <f t="shared" si="5"/>
        <v>41.15974975628496</v>
      </c>
      <c r="G32" s="5">
        <f t="shared" si="6"/>
        <v>-134.5</v>
      </c>
      <c r="H32" s="1">
        <f t="shared" si="7"/>
        <v>-206.625</v>
      </c>
      <c r="I32" s="6">
        <f t="shared" si="8"/>
        <v>246.54439889196428</v>
      </c>
      <c r="J32" s="15">
        <f t="shared" ca="1" si="2"/>
        <v>1</v>
      </c>
    </row>
    <row r="33" spans="2:10" x14ac:dyDescent="0.25">
      <c r="B33" s="5">
        <v>33</v>
      </c>
      <c r="C33" s="6">
        <v>92</v>
      </c>
      <c r="D33" s="5">
        <f t="shared" si="3"/>
        <v>120.25</v>
      </c>
      <c r="E33" s="1">
        <f t="shared" si="4"/>
        <v>190.75</v>
      </c>
      <c r="F33" s="6">
        <f t="shared" si="5"/>
        <v>225.48974477789449</v>
      </c>
      <c r="G33" s="5">
        <f t="shared" si="6"/>
        <v>-49.5</v>
      </c>
      <c r="H33" s="1">
        <f t="shared" si="7"/>
        <v>5.375</v>
      </c>
      <c r="I33" s="6">
        <f t="shared" si="8"/>
        <v>49.790969311713546</v>
      </c>
      <c r="J33" s="15">
        <f t="shared" ca="1" si="2"/>
        <v>2</v>
      </c>
    </row>
    <row r="34" spans="2:10" x14ac:dyDescent="0.25">
      <c r="B34" s="5">
        <v>37</v>
      </c>
      <c r="C34" s="6">
        <v>130</v>
      </c>
      <c r="D34" s="5">
        <f t="shared" si="3"/>
        <v>124.25</v>
      </c>
      <c r="E34" s="1">
        <f t="shared" si="4"/>
        <v>228.75</v>
      </c>
      <c r="F34" s="6">
        <f t="shared" si="5"/>
        <v>260.31639402849754</v>
      </c>
      <c r="G34" s="5">
        <f t="shared" si="6"/>
        <v>-45.5</v>
      </c>
      <c r="H34" s="1">
        <f t="shared" si="7"/>
        <v>43.375</v>
      </c>
      <c r="I34" s="6">
        <f t="shared" si="8"/>
        <v>62.862076206565114</v>
      </c>
      <c r="J34" s="15">
        <f t="shared" ca="1" si="2"/>
        <v>2</v>
      </c>
    </row>
    <row r="35" spans="2:10" x14ac:dyDescent="0.25">
      <c r="B35" s="5">
        <v>85</v>
      </c>
      <c r="C35" s="6">
        <v>132</v>
      </c>
      <c r="D35" s="5">
        <f t="shared" si="3"/>
        <v>172.25</v>
      </c>
      <c r="E35" s="1">
        <f t="shared" si="4"/>
        <v>230.75</v>
      </c>
      <c r="F35" s="6">
        <f t="shared" si="5"/>
        <v>287.95073363337696</v>
      </c>
      <c r="G35" s="5">
        <f t="shared" si="6"/>
        <v>2.5</v>
      </c>
      <c r="H35" s="1">
        <f t="shared" si="7"/>
        <v>45.375</v>
      </c>
      <c r="I35" s="6">
        <f t="shared" si="8"/>
        <v>45.443818336491049</v>
      </c>
      <c r="J35" s="15">
        <f t="shared" ca="1" si="2"/>
        <v>2</v>
      </c>
    </row>
    <row r="36" spans="2:10" x14ac:dyDescent="0.25">
      <c r="B36" s="5">
        <v>3</v>
      </c>
      <c r="C36" s="6">
        <v>177</v>
      </c>
      <c r="D36" s="5">
        <f t="shared" si="3"/>
        <v>90.25</v>
      </c>
      <c r="E36" s="1">
        <f t="shared" si="4"/>
        <v>275.75</v>
      </c>
      <c r="F36" s="6">
        <f t="shared" si="5"/>
        <v>290.14328356865337</v>
      </c>
      <c r="G36" s="5">
        <f t="shared" si="6"/>
        <v>-79.5</v>
      </c>
      <c r="H36" s="1">
        <f t="shared" si="7"/>
        <v>90.375</v>
      </c>
      <c r="I36" s="6">
        <f t="shared" si="8"/>
        <v>120.36565384278025</v>
      </c>
      <c r="J36" s="15">
        <f t="shared" ca="1" si="2"/>
        <v>2</v>
      </c>
    </row>
    <row r="37" spans="2:10" x14ac:dyDescent="0.25">
      <c r="B37" s="5">
        <v>54</v>
      </c>
      <c r="C37" s="6">
        <v>4</v>
      </c>
      <c r="D37" s="5">
        <f t="shared" si="3"/>
        <v>141.25</v>
      </c>
      <c r="E37" s="1">
        <f t="shared" si="4"/>
        <v>102.75</v>
      </c>
      <c r="F37" s="6">
        <f t="shared" si="5"/>
        <v>174.66861481101864</v>
      </c>
      <c r="G37" s="5">
        <f t="shared" si="6"/>
        <v>-28.5</v>
      </c>
      <c r="H37" s="1">
        <f t="shared" si="7"/>
        <v>-82.625</v>
      </c>
      <c r="I37" s="6">
        <f t="shared" si="8"/>
        <v>87.402177461433993</v>
      </c>
      <c r="J37" s="15">
        <f t="shared" ca="1" si="2"/>
        <v>2</v>
      </c>
    </row>
    <row r="38" spans="2:10" x14ac:dyDescent="0.25">
      <c r="B38" s="5">
        <v>-20</v>
      </c>
      <c r="C38" s="6">
        <v>162</v>
      </c>
      <c r="D38" s="5">
        <f t="shared" si="3"/>
        <v>67.25</v>
      </c>
      <c r="E38" s="1">
        <f t="shared" si="4"/>
        <v>260.75</v>
      </c>
      <c r="F38" s="6">
        <f t="shared" si="5"/>
        <v>269.28261176689443</v>
      </c>
      <c r="G38" s="5">
        <f t="shared" si="6"/>
        <v>-102.5</v>
      </c>
      <c r="H38" s="1">
        <f t="shared" si="7"/>
        <v>75.375</v>
      </c>
      <c r="I38" s="6">
        <f t="shared" si="8"/>
        <v>127.23065913921849</v>
      </c>
      <c r="J38" s="15">
        <f t="shared" ca="1" si="2"/>
        <v>2</v>
      </c>
    </row>
    <row r="39" spans="2:10" x14ac:dyDescent="0.25">
      <c r="B39" s="5">
        <v>163</v>
      </c>
      <c r="C39" s="6">
        <v>17</v>
      </c>
      <c r="D39" s="5">
        <f t="shared" si="3"/>
        <v>250.25</v>
      </c>
      <c r="E39" s="1">
        <f t="shared" si="4"/>
        <v>115.75</v>
      </c>
      <c r="F39" s="6">
        <f t="shared" si="5"/>
        <v>275.72291344754069</v>
      </c>
      <c r="G39" s="5">
        <f t="shared" si="6"/>
        <v>80.5</v>
      </c>
      <c r="H39" s="1">
        <f t="shared" si="7"/>
        <v>-69.625</v>
      </c>
      <c r="I39" s="6">
        <f t="shared" si="8"/>
        <v>106.43256374343333</v>
      </c>
      <c r="J39" s="15">
        <f t="shared" ca="1" si="2"/>
        <v>2</v>
      </c>
    </row>
    <row r="40" spans="2:10" x14ac:dyDescent="0.25">
      <c r="B40" s="5">
        <v>166</v>
      </c>
      <c r="C40" s="6">
        <v>92</v>
      </c>
      <c r="D40" s="5">
        <f t="shared" si="3"/>
        <v>253.25</v>
      </c>
      <c r="E40" s="1">
        <f t="shared" si="4"/>
        <v>190.75</v>
      </c>
      <c r="F40" s="6">
        <f t="shared" si="5"/>
        <v>317.05066629799092</v>
      </c>
      <c r="G40" s="5">
        <f t="shared" si="6"/>
        <v>83.5</v>
      </c>
      <c r="H40" s="1">
        <f t="shared" si="7"/>
        <v>5.375</v>
      </c>
      <c r="I40" s="6">
        <f t="shared" si="8"/>
        <v>83.672818913910149</v>
      </c>
      <c r="J40" s="15">
        <f t="shared" ca="1" si="2"/>
        <v>2</v>
      </c>
    </row>
    <row r="41" spans="2:10" x14ac:dyDescent="0.25">
      <c r="B41" s="5">
        <v>123</v>
      </c>
      <c r="C41" s="6">
        <v>73</v>
      </c>
      <c r="D41" s="5">
        <f t="shared" si="3"/>
        <v>210.25</v>
      </c>
      <c r="E41" s="1">
        <f t="shared" si="4"/>
        <v>171.75</v>
      </c>
      <c r="F41" s="6">
        <f t="shared" si="5"/>
        <v>271.48319469167882</v>
      </c>
      <c r="G41" s="5">
        <f t="shared" si="6"/>
        <v>40.5</v>
      </c>
      <c r="H41" s="1">
        <f t="shared" si="7"/>
        <v>-13.625</v>
      </c>
      <c r="I41" s="6">
        <f t="shared" si="8"/>
        <v>42.730441432309121</v>
      </c>
      <c r="J41" s="15">
        <f t="shared" ca="1" si="2"/>
        <v>2</v>
      </c>
    </row>
    <row r="42" spans="2:10" x14ac:dyDescent="0.25">
      <c r="B42" s="5">
        <v>-5</v>
      </c>
      <c r="C42" s="6">
        <v>141</v>
      </c>
      <c r="D42" s="5">
        <f t="shared" si="3"/>
        <v>82.25</v>
      </c>
      <c r="E42" s="1">
        <f t="shared" si="4"/>
        <v>239.75</v>
      </c>
      <c r="F42" s="6">
        <f t="shared" si="5"/>
        <v>253.4662206291008</v>
      </c>
      <c r="G42" s="5">
        <f t="shared" si="6"/>
        <v>-87.5</v>
      </c>
      <c r="H42" s="1">
        <f t="shared" si="7"/>
        <v>54.375</v>
      </c>
      <c r="I42" s="6">
        <f t="shared" si="8"/>
        <v>103.01888479788548</v>
      </c>
      <c r="J42" s="15">
        <f t="shared" ca="1" si="2"/>
        <v>2</v>
      </c>
    </row>
    <row r="43" spans="2:10" x14ac:dyDescent="0.25">
      <c r="B43" s="5">
        <v>86</v>
      </c>
      <c r="C43" s="6">
        <v>43</v>
      </c>
      <c r="D43" s="5">
        <f t="shared" si="3"/>
        <v>173.25</v>
      </c>
      <c r="E43" s="1">
        <f t="shared" si="4"/>
        <v>141.75</v>
      </c>
      <c r="F43" s="6">
        <f t="shared" si="5"/>
        <v>223.84955885594235</v>
      </c>
      <c r="G43" s="5">
        <f t="shared" si="6"/>
        <v>3.5</v>
      </c>
      <c r="H43" s="1">
        <f t="shared" si="7"/>
        <v>-43.625</v>
      </c>
      <c r="I43" s="6">
        <f t="shared" si="8"/>
        <v>43.76517593932418</v>
      </c>
      <c r="J43" s="15">
        <f t="shared" ca="1" si="2"/>
        <v>2</v>
      </c>
    </row>
    <row r="44" spans="2:10" x14ac:dyDescent="0.25">
      <c r="B44" s="5">
        <v>117</v>
      </c>
      <c r="C44" s="6">
        <v>28</v>
      </c>
      <c r="D44" s="5">
        <f t="shared" si="3"/>
        <v>204.25</v>
      </c>
      <c r="E44" s="1">
        <f t="shared" si="4"/>
        <v>126.75</v>
      </c>
      <c r="F44" s="6">
        <f t="shared" si="5"/>
        <v>240.38224768064717</v>
      </c>
      <c r="G44" s="5">
        <f t="shared" si="6"/>
        <v>34.5</v>
      </c>
      <c r="H44" s="1">
        <f t="shared" si="7"/>
        <v>-58.625</v>
      </c>
      <c r="I44" s="6">
        <f t="shared" si="8"/>
        <v>68.023088911045491</v>
      </c>
      <c r="J44" s="15">
        <f t="shared" ca="1" si="2"/>
        <v>2</v>
      </c>
    </row>
    <row r="45" spans="2:10" x14ac:dyDescent="0.25">
      <c r="B45" s="5">
        <v>163</v>
      </c>
      <c r="C45" s="6">
        <v>80</v>
      </c>
      <c r="D45" s="5">
        <f t="shared" si="3"/>
        <v>250.25</v>
      </c>
      <c r="E45" s="1">
        <f t="shared" si="4"/>
        <v>178.75</v>
      </c>
      <c r="F45" s="6">
        <f t="shared" si="5"/>
        <v>307.5331282967739</v>
      </c>
      <c r="G45" s="5">
        <f t="shared" si="6"/>
        <v>80.5</v>
      </c>
      <c r="H45" s="1">
        <f t="shared" si="7"/>
        <v>-6.625</v>
      </c>
      <c r="I45" s="6">
        <f t="shared" si="8"/>
        <v>80.772152534150038</v>
      </c>
      <c r="J45" s="15">
        <f t="shared" ca="1" si="2"/>
        <v>2</v>
      </c>
    </row>
    <row r="46" spans="2:10" x14ac:dyDescent="0.25">
      <c r="B46" s="5">
        <v>137</v>
      </c>
      <c r="C46" s="6">
        <v>93</v>
      </c>
      <c r="D46" s="5">
        <f t="shared" si="3"/>
        <v>224.25</v>
      </c>
      <c r="E46" s="1">
        <f t="shared" si="4"/>
        <v>191.75</v>
      </c>
      <c r="F46" s="6">
        <f t="shared" si="5"/>
        <v>295.05274952116611</v>
      </c>
      <c r="G46" s="5">
        <f t="shared" si="6"/>
        <v>54.5</v>
      </c>
      <c r="H46" s="1">
        <f t="shared" si="7"/>
        <v>6.375</v>
      </c>
      <c r="I46" s="6">
        <f t="shared" si="8"/>
        <v>54.871583037124054</v>
      </c>
      <c r="J46" s="15">
        <f t="shared" ca="1" si="2"/>
        <v>2</v>
      </c>
    </row>
    <row r="47" spans="2:10" x14ac:dyDescent="0.25">
      <c r="B47" s="5">
        <v>-1</v>
      </c>
      <c r="C47" s="6">
        <v>25</v>
      </c>
      <c r="D47" s="5">
        <f t="shared" si="3"/>
        <v>86.25</v>
      </c>
      <c r="E47" s="1">
        <f t="shared" si="4"/>
        <v>123.75</v>
      </c>
      <c r="F47" s="6">
        <f t="shared" si="5"/>
        <v>150.84139020839075</v>
      </c>
      <c r="G47" s="5">
        <f t="shared" si="6"/>
        <v>-83.5</v>
      </c>
      <c r="H47" s="1">
        <f t="shared" si="7"/>
        <v>-61.625</v>
      </c>
      <c r="I47" s="6">
        <f t="shared" si="8"/>
        <v>103.77808354850266</v>
      </c>
      <c r="J47" s="15">
        <f t="shared" ca="1" si="2"/>
        <v>2</v>
      </c>
    </row>
    <row r="48" spans="2:10" x14ac:dyDescent="0.25">
      <c r="B48" s="5">
        <v>154</v>
      </c>
      <c r="C48" s="6">
        <v>64</v>
      </c>
      <c r="D48" s="5">
        <f t="shared" si="3"/>
        <v>241.25</v>
      </c>
      <c r="E48" s="1">
        <f t="shared" si="4"/>
        <v>162.75</v>
      </c>
      <c r="F48" s="6">
        <f t="shared" si="5"/>
        <v>291.01396014624453</v>
      </c>
      <c r="G48" s="5">
        <f t="shared" si="6"/>
        <v>71.5</v>
      </c>
      <c r="H48" s="1">
        <f t="shared" si="7"/>
        <v>-22.625</v>
      </c>
      <c r="I48" s="6">
        <f t="shared" si="8"/>
        <v>74.994270614494283</v>
      </c>
      <c r="J48" s="15">
        <f t="shared" ca="1" si="2"/>
        <v>2</v>
      </c>
    </row>
    <row r="49" spans="1:10" x14ac:dyDescent="0.25">
      <c r="B49" s="5">
        <v>64</v>
      </c>
      <c r="C49" s="6">
        <v>59</v>
      </c>
      <c r="D49" s="5">
        <f t="shared" si="3"/>
        <v>151.25</v>
      </c>
      <c r="E49" s="1">
        <f t="shared" si="4"/>
        <v>157.75</v>
      </c>
      <c r="F49" s="6">
        <f t="shared" si="5"/>
        <v>218.54433188714825</v>
      </c>
      <c r="G49" s="5">
        <f t="shared" si="6"/>
        <v>-18.5</v>
      </c>
      <c r="H49" s="1">
        <f t="shared" si="7"/>
        <v>-27.625</v>
      </c>
      <c r="I49" s="6">
        <f t="shared" si="8"/>
        <v>33.247415313073589</v>
      </c>
      <c r="J49" s="15">
        <f t="shared" ca="1" si="2"/>
        <v>2</v>
      </c>
    </row>
    <row r="50" spans="1:10" x14ac:dyDescent="0.25">
      <c r="B50" s="5">
        <v>89</v>
      </c>
      <c r="C50" s="6">
        <v>168</v>
      </c>
      <c r="D50" s="5">
        <f t="shared" si="3"/>
        <v>176.25</v>
      </c>
      <c r="E50" s="1">
        <f t="shared" si="4"/>
        <v>266.75</v>
      </c>
      <c r="F50" s="6">
        <f t="shared" si="5"/>
        <v>319.71803984135772</v>
      </c>
      <c r="G50" s="5">
        <f t="shared" si="6"/>
        <v>6.5</v>
      </c>
      <c r="H50" s="1">
        <f t="shared" si="7"/>
        <v>81.375</v>
      </c>
      <c r="I50" s="6">
        <f t="shared" si="8"/>
        <v>81.634187844309452</v>
      </c>
      <c r="J50" s="15">
        <f t="shared" ca="1" si="2"/>
        <v>2</v>
      </c>
    </row>
    <row r="51" spans="1:10" x14ac:dyDescent="0.25">
      <c r="B51" s="5">
        <v>168</v>
      </c>
      <c r="C51" s="6">
        <v>25</v>
      </c>
      <c r="D51" s="5">
        <f t="shared" si="3"/>
        <v>255.25</v>
      </c>
      <c r="E51" s="1">
        <f t="shared" si="4"/>
        <v>123.75</v>
      </c>
      <c r="F51" s="6">
        <f t="shared" si="5"/>
        <v>283.66639737550867</v>
      </c>
      <c r="G51" s="5">
        <f t="shared" si="6"/>
        <v>85.5</v>
      </c>
      <c r="H51" s="1">
        <f t="shared" si="7"/>
        <v>-61.625</v>
      </c>
      <c r="I51" s="6">
        <f t="shared" si="8"/>
        <v>105.39397812493843</v>
      </c>
      <c r="J51" s="15">
        <f t="shared" ca="1" si="2"/>
        <v>2</v>
      </c>
    </row>
    <row r="52" spans="1:10" x14ac:dyDescent="0.25">
      <c r="B52" s="5">
        <v>22</v>
      </c>
      <c r="C52" s="6">
        <v>40</v>
      </c>
      <c r="D52" s="5">
        <f t="shared" si="3"/>
        <v>109.25</v>
      </c>
      <c r="E52" s="1">
        <f t="shared" si="4"/>
        <v>138.75</v>
      </c>
      <c r="F52" s="6">
        <f t="shared" si="5"/>
        <v>176.59876839887644</v>
      </c>
      <c r="G52" s="5">
        <f t="shared" si="6"/>
        <v>-60.5</v>
      </c>
      <c r="H52" s="1">
        <f t="shared" si="7"/>
        <v>-46.625</v>
      </c>
      <c r="I52" s="6">
        <f t="shared" si="8"/>
        <v>76.381546364288809</v>
      </c>
      <c r="J52" s="15">
        <f t="shared" ca="1" si="2"/>
        <v>2</v>
      </c>
    </row>
    <row r="53" spans="1:10" x14ac:dyDescent="0.25">
      <c r="B53" s="5">
        <v>-20</v>
      </c>
      <c r="C53" s="6">
        <v>187</v>
      </c>
      <c r="D53" s="5">
        <f t="shared" si="3"/>
        <v>67.25</v>
      </c>
      <c r="E53" s="1">
        <f t="shared" si="4"/>
        <v>285.75</v>
      </c>
      <c r="F53" s="6">
        <f t="shared" si="5"/>
        <v>293.55685139338851</v>
      </c>
      <c r="G53" s="5">
        <f t="shared" si="6"/>
        <v>-102.5</v>
      </c>
      <c r="H53" s="1">
        <f t="shared" si="7"/>
        <v>100.375</v>
      </c>
      <c r="I53" s="6">
        <f t="shared" si="8"/>
        <v>143.46215746669921</v>
      </c>
      <c r="J53" s="15">
        <f t="shared" ca="1" si="2"/>
        <v>2</v>
      </c>
    </row>
    <row r="54" spans="1:10" x14ac:dyDescent="0.25">
      <c r="B54" s="5">
        <v>-14</v>
      </c>
      <c r="C54" s="6">
        <v>72</v>
      </c>
      <c r="D54" s="5">
        <f t="shared" si="3"/>
        <v>73.25</v>
      </c>
      <c r="E54" s="1">
        <f t="shared" si="4"/>
        <v>170.75</v>
      </c>
      <c r="F54" s="6">
        <f t="shared" si="5"/>
        <v>185.79861409601526</v>
      </c>
      <c r="G54" s="5">
        <f t="shared" si="6"/>
        <v>-96.5</v>
      </c>
      <c r="H54" s="1">
        <f t="shared" si="7"/>
        <v>-14.625</v>
      </c>
      <c r="I54" s="6">
        <f t="shared" si="8"/>
        <v>97.601949903677635</v>
      </c>
      <c r="J54" s="15">
        <f t="shared" ca="1" si="2"/>
        <v>2</v>
      </c>
    </row>
    <row r="55" spans="1:10" x14ac:dyDescent="0.25">
      <c r="B55" s="5">
        <v>183</v>
      </c>
      <c r="C55" s="6">
        <v>76</v>
      </c>
      <c r="D55" s="5">
        <f t="shared" si="3"/>
        <v>270.25</v>
      </c>
      <c r="E55" s="1">
        <f t="shared" si="4"/>
        <v>174.75</v>
      </c>
      <c r="F55" s="6">
        <f t="shared" si="5"/>
        <v>321.82701098571573</v>
      </c>
      <c r="G55" s="5">
        <f t="shared" si="6"/>
        <v>100.5</v>
      </c>
      <c r="H55" s="1">
        <f t="shared" si="7"/>
        <v>-10.625</v>
      </c>
      <c r="I55" s="6">
        <f t="shared" si="8"/>
        <v>101.06008423210422</v>
      </c>
      <c r="J55" s="15">
        <f t="shared" ca="1" si="2"/>
        <v>2</v>
      </c>
    </row>
    <row r="56" spans="1:10" ht="15.75" thickBot="1" x14ac:dyDescent="0.3">
      <c r="B56" s="7">
        <v>193</v>
      </c>
      <c r="C56" s="8">
        <v>99</v>
      </c>
      <c r="D56" s="7">
        <f t="shared" si="3"/>
        <v>280.25</v>
      </c>
      <c r="E56" s="9">
        <f t="shared" si="4"/>
        <v>197.75</v>
      </c>
      <c r="F56" s="8">
        <f t="shared" si="5"/>
        <v>342.99435126543995</v>
      </c>
      <c r="G56" s="7">
        <f t="shared" si="6"/>
        <v>110.5</v>
      </c>
      <c r="H56" s="9">
        <f t="shared" si="7"/>
        <v>12.375</v>
      </c>
      <c r="I56" s="8">
        <f t="shared" si="8"/>
        <v>111.19078480251859</v>
      </c>
      <c r="J56" s="16">
        <f t="shared" ca="1" si="2"/>
        <v>2</v>
      </c>
    </row>
    <row r="58" spans="1:10" x14ac:dyDescent="0.25">
      <c r="A58" t="s">
        <v>9</v>
      </c>
      <c r="B58" s="1">
        <f>MIN(B9:B56)</f>
        <v>-195</v>
      </c>
      <c r="C58" s="1">
        <f>MIN(C9:C56)</f>
        <v>-200</v>
      </c>
    </row>
    <row r="59" spans="1:10" x14ac:dyDescent="0.25">
      <c r="A59" t="s">
        <v>10</v>
      </c>
      <c r="B59" s="1">
        <f>MAX(B9:B56)</f>
        <v>193</v>
      </c>
      <c r="C59" s="1">
        <f>MAX(C9:C56)</f>
        <v>187</v>
      </c>
    </row>
  </sheetData>
  <mergeCells count="5">
    <mergeCell ref="B7:C7"/>
    <mergeCell ref="D2:E2"/>
    <mergeCell ref="G2:H2"/>
    <mergeCell ref="D7:F7"/>
    <mergeCell ref="G7:I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initialize">
                <anchor moveWithCells="1" sizeWithCells="1">
                  <from>
                    <xdr:col>12</xdr:col>
                    <xdr:colOff>0</xdr:colOff>
                    <xdr:row>2</xdr:row>
                    <xdr:rowOff>0</xdr:rowOff>
                  </from>
                  <to>
                    <xdr:col>13</xdr:col>
                    <xdr:colOff>609600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update">
                <anchor moveWithCells="1" sizeWithCells="1">
                  <from>
                    <xdr:col>12</xdr:col>
                    <xdr:colOff>0</xdr:colOff>
                    <xdr:row>4</xdr:row>
                    <xdr:rowOff>19050</xdr:rowOff>
                  </from>
                  <to>
                    <xdr:col>13</xdr:col>
                    <xdr:colOff>600075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main">
                <anchor moveWithCells="1" sizeWithCells="1">
                  <from>
                    <xdr:col>12</xdr:col>
                    <xdr:colOff>0</xdr:colOff>
                    <xdr:row>6</xdr:row>
                    <xdr:rowOff>9525</xdr:rowOff>
                  </from>
                  <to>
                    <xdr:col>14</xdr:col>
                    <xdr:colOff>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ClearCentroids">
                <anchor moveWithCells="1" sizeWithCells="1">
                  <from>
                    <xdr:col>12</xdr:col>
                    <xdr:colOff>0</xdr:colOff>
                    <xdr:row>0</xdr:row>
                    <xdr:rowOff>0</xdr:rowOff>
                  </from>
                  <to>
                    <xdr:col>14</xdr:col>
                    <xdr:colOff>9525</xdr:colOff>
                    <xdr:row>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85D5A9-F900-432C-B34A-F542E0E53099}">
  <sheetPr codeName="Sheet2"/>
  <dimension ref="B2:Q59"/>
  <sheetViews>
    <sheetView zoomScaleNormal="100" workbookViewId="0">
      <selection activeCell="B9" sqref="B9:C56"/>
    </sheetView>
  </sheetViews>
  <sheetFormatPr defaultRowHeight="15" x14ac:dyDescent="0.25"/>
  <cols>
    <col min="2" max="2" width="12" style="1" bestFit="1" customWidth="1"/>
    <col min="3" max="9" width="8.7109375" style="1"/>
    <col min="10" max="10" width="15.7109375" bestFit="1" customWidth="1"/>
  </cols>
  <sheetData>
    <row r="2" spans="2:17" ht="15.75" thickBot="1" x14ac:dyDescent="0.3">
      <c r="D2" s="18" t="s">
        <v>3</v>
      </c>
      <c r="E2" s="18"/>
      <c r="G2" s="18" t="s">
        <v>4</v>
      </c>
      <c r="H2" s="18"/>
      <c r="J2" t="s">
        <v>12</v>
      </c>
    </row>
    <row r="3" spans="2:17" ht="16.5" thickTop="1" thickBot="1" x14ac:dyDescent="0.3">
      <c r="D3" s="1" t="s">
        <v>0</v>
      </c>
      <c r="E3" s="1" t="s">
        <v>1</v>
      </c>
      <c r="G3" s="1" t="s">
        <v>0</v>
      </c>
      <c r="H3" s="1" t="s">
        <v>1</v>
      </c>
      <c r="J3">
        <v>20</v>
      </c>
      <c r="L3" s="17">
        <f>(SUM(F9:F56)+SUM(I9:I56))/Q3</f>
        <v>66.434089580473824</v>
      </c>
      <c r="O3">
        <f>D4-G4</f>
        <v>173.64021164021165</v>
      </c>
      <c r="P3">
        <f>E4-H4</f>
        <v>183.42328042328043</v>
      </c>
      <c r="Q3">
        <f>SQRT(O3^2+P3^2)</f>
        <v>252.57676634974734</v>
      </c>
    </row>
    <row r="4" spans="2:17" ht="15.75" thickTop="1" x14ac:dyDescent="0.25">
      <c r="C4" s="1" t="s">
        <v>7</v>
      </c>
      <c r="D4" s="1">
        <f>D5</f>
        <v>73.592592592592595</v>
      </c>
      <c r="E4" s="1">
        <f>E5</f>
        <v>74.18518518518519</v>
      </c>
      <c r="G4" s="1">
        <f>G5</f>
        <v>-100.04761904761905</v>
      </c>
      <c r="H4" s="1">
        <f>H5</f>
        <v>-109.23809523809524</v>
      </c>
      <c r="J4" t="s">
        <v>11</v>
      </c>
    </row>
    <row r="5" spans="2:17" x14ac:dyDescent="0.25">
      <c r="C5" s="1" t="s">
        <v>8</v>
      </c>
      <c r="D5" s="1">
        <f>AVERAGEIFS(B9:B56,J9:J56,1)</f>
        <v>73.592592592592595</v>
      </c>
      <c r="E5" s="1">
        <f>AVERAGEIFS(C9:C56,J9:J56,1)</f>
        <v>74.18518518518519</v>
      </c>
      <c r="G5" s="1">
        <f>AVERAGEIFS(B9:B56,J9:J56,2)</f>
        <v>-100.04761904761905</v>
      </c>
      <c r="H5" s="1">
        <f>AVERAGEIFS(C9:C56,J9:J56,2)</f>
        <v>-109.23809523809524</v>
      </c>
      <c r="J5">
        <v>3</v>
      </c>
    </row>
    <row r="7" spans="2:17" ht="15.75" thickBot="1" x14ac:dyDescent="0.3">
      <c r="B7" s="18" t="s">
        <v>2</v>
      </c>
      <c r="C7" s="18"/>
      <c r="D7" s="18" t="s">
        <v>3</v>
      </c>
      <c r="E7" s="18"/>
      <c r="F7" s="18"/>
      <c r="G7" s="18" t="s">
        <v>3</v>
      </c>
      <c r="H7" s="18"/>
      <c r="I7" s="18"/>
    </row>
    <row r="8" spans="2:17" ht="15.75" thickBot="1" x14ac:dyDescent="0.3">
      <c r="B8" s="10" t="s">
        <v>0</v>
      </c>
      <c r="C8" s="11" t="s">
        <v>1</v>
      </c>
      <c r="D8" s="10" t="s">
        <v>0</v>
      </c>
      <c r="E8" s="12" t="s">
        <v>1</v>
      </c>
      <c r="F8" s="11" t="s">
        <v>5</v>
      </c>
      <c r="G8" s="10" t="s">
        <v>0</v>
      </c>
      <c r="H8" s="12" t="s">
        <v>1</v>
      </c>
      <c r="I8" s="11" t="s">
        <v>5</v>
      </c>
      <c r="J8" s="13" t="s">
        <v>6</v>
      </c>
    </row>
    <row r="9" spans="2:17" x14ac:dyDescent="0.25">
      <c r="B9" s="5">
        <v>-42</v>
      </c>
      <c r="C9" s="6">
        <v>-188</v>
      </c>
      <c r="D9" s="2">
        <f t="shared" ref="D9:E24" si="0">(B9-D$4)</f>
        <v>-115.5925925925926</v>
      </c>
      <c r="E9" s="4">
        <f t="shared" si="0"/>
        <v>-262.18518518518522</v>
      </c>
      <c r="F9" s="3">
        <f>SQRT(D9^2+E9^2)</f>
        <v>286.53571992487593</v>
      </c>
      <c r="G9" s="2">
        <f t="shared" ref="G9:H24" si="1">(B9-G$4)</f>
        <v>58.047619047619051</v>
      </c>
      <c r="H9" s="4">
        <f t="shared" si="1"/>
        <v>-78.761904761904759</v>
      </c>
      <c r="I9" s="3">
        <f>SQRT(G9^2+H9^2)</f>
        <v>97.841523489880629</v>
      </c>
      <c r="J9" s="14">
        <v>2</v>
      </c>
    </row>
    <row r="10" spans="2:17" x14ac:dyDescent="0.25">
      <c r="B10" s="5">
        <v>-89</v>
      </c>
      <c r="C10" s="6">
        <v>-200</v>
      </c>
      <c r="D10" s="5">
        <f t="shared" si="0"/>
        <v>-162.59259259259261</v>
      </c>
      <c r="E10" s="1">
        <f t="shared" si="0"/>
        <v>-274.18518518518522</v>
      </c>
      <c r="F10" s="6">
        <f t="shared" ref="F10:F56" si="2">SQRT(D10^2+E10^2)</f>
        <v>318.76930049961697</v>
      </c>
      <c r="G10" s="5">
        <f t="shared" si="1"/>
        <v>11.047619047619051</v>
      </c>
      <c r="H10" s="1">
        <f t="shared" si="1"/>
        <v>-90.761904761904759</v>
      </c>
      <c r="I10" s="6">
        <f t="shared" ref="I10:I56" si="3">SQRT(G10^2+H10^2)</f>
        <v>91.431795578072212</v>
      </c>
      <c r="J10" s="15">
        <v>2</v>
      </c>
    </row>
    <row r="11" spans="2:17" x14ac:dyDescent="0.25">
      <c r="B11" s="5">
        <v>-19</v>
      </c>
      <c r="C11" s="6">
        <v>-4</v>
      </c>
      <c r="D11" s="5">
        <f t="shared" si="0"/>
        <v>-92.592592592592595</v>
      </c>
      <c r="E11" s="1">
        <f t="shared" si="0"/>
        <v>-78.18518518518519</v>
      </c>
      <c r="F11" s="6">
        <f t="shared" si="2"/>
        <v>121.18709248702824</v>
      </c>
      <c r="G11" s="5">
        <f t="shared" si="1"/>
        <v>81.047619047619051</v>
      </c>
      <c r="H11" s="1">
        <f t="shared" si="1"/>
        <v>105.23809523809524</v>
      </c>
      <c r="I11" s="6">
        <f t="shared" si="3"/>
        <v>132.82986577810874</v>
      </c>
      <c r="J11" s="15">
        <v>1</v>
      </c>
    </row>
    <row r="12" spans="2:17" x14ac:dyDescent="0.25">
      <c r="B12" s="5">
        <v>-33</v>
      </c>
      <c r="C12" s="6">
        <v>-39</v>
      </c>
      <c r="D12" s="5">
        <f t="shared" si="0"/>
        <v>-106.5925925925926</v>
      </c>
      <c r="E12" s="1">
        <f t="shared" si="0"/>
        <v>-113.18518518518519</v>
      </c>
      <c r="F12" s="6">
        <f t="shared" si="2"/>
        <v>155.47625844808297</v>
      </c>
      <c r="G12" s="5">
        <f t="shared" si="1"/>
        <v>67.047619047619051</v>
      </c>
      <c r="H12" s="1">
        <f t="shared" si="1"/>
        <v>70.238095238095241</v>
      </c>
      <c r="I12" s="6">
        <f t="shared" si="3"/>
        <v>97.101870438372018</v>
      </c>
      <c r="J12" s="15">
        <v>2</v>
      </c>
    </row>
    <row r="13" spans="2:17" x14ac:dyDescent="0.25">
      <c r="B13" s="5">
        <v>-60</v>
      </c>
      <c r="C13" s="6">
        <v>-134</v>
      </c>
      <c r="D13" s="5">
        <f t="shared" si="0"/>
        <v>-133.59259259259261</v>
      </c>
      <c r="E13" s="1">
        <f t="shared" si="0"/>
        <v>-208.18518518518519</v>
      </c>
      <c r="F13" s="6">
        <f t="shared" si="2"/>
        <v>247.36218814968527</v>
      </c>
      <c r="G13" s="5">
        <f t="shared" si="1"/>
        <v>40.047619047619051</v>
      </c>
      <c r="H13" s="1">
        <f t="shared" si="1"/>
        <v>-24.761904761904759</v>
      </c>
      <c r="I13" s="6">
        <f t="shared" si="3"/>
        <v>47.08464419341896</v>
      </c>
      <c r="J13" s="15">
        <v>2</v>
      </c>
    </row>
    <row r="14" spans="2:17" x14ac:dyDescent="0.25">
      <c r="B14" s="5">
        <v>-140</v>
      </c>
      <c r="C14" s="6">
        <v>-31</v>
      </c>
      <c r="D14" s="5">
        <f t="shared" si="0"/>
        <v>-213.59259259259261</v>
      </c>
      <c r="E14" s="1">
        <f t="shared" si="0"/>
        <v>-105.18518518518519</v>
      </c>
      <c r="F14" s="6">
        <f t="shared" si="2"/>
        <v>238.08762839103366</v>
      </c>
      <c r="G14" s="5">
        <f t="shared" si="1"/>
        <v>-39.952380952380949</v>
      </c>
      <c r="H14" s="1">
        <f t="shared" si="1"/>
        <v>78.238095238095241</v>
      </c>
      <c r="I14" s="6">
        <f t="shared" si="3"/>
        <v>87.848689746913323</v>
      </c>
      <c r="J14" s="15">
        <v>2</v>
      </c>
    </row>
    <row r="15" spans="2:17" x14ac:dyDescent="0.25">
      <c r="B15" s="5">
        <v>-125</v>
      </c>
      <c r="C15" s="6">
        <v>-86</v>
      </c>
      <c r="D15" s="5">
        <f t="shared" si="0"/>
        <v>-198.59259259259261</v>
      </c>
      <c r="E15" s="1">
        <f t="shared" si="0"/>
        <v>-160.18518518518519</v>
      </c>
      <c r="F15" s="6">
        <f t="shared" si="2"/>
        <v>255.14370732091265</v>
      </c>
      <c r="G15" s="5">
        <f t="shared" si="1"/>
        <v>-24.952380952380949</v>
      </c>
      <c r="H15" s="1">
        <f t="shared" si="1"/>
        <v>23.238095238095241</v>
      </c>
      <c r="I15" s="6">
        <f t="shared" si="3"/>
        <v>34.097366254412208</v>
      </c>
      <c r="J15" s="15">
        <v>2</v>
      </c>
    </row>
    <row r="16" spans="2:17" x14ac:dyDescent="0.25">
      <c r="B16" s="5">
        <v>-113</v>
      </c>
      <c r="C16" s="6">
        <v>-138</v>
      </c>
      <c r="D16" s="5">
        <f t="shared" si="0"/>
        <v>-186.59259259259261</v>
      </c>
      <c r="E16" s="1">
        <f t="shared" si="0"/>
        <v>-212.18518518518519</v>
      </c>
      <c r="F16" s="6">
        <f t="shared" si="2"/>
        <v>282.55857520609169</v>
      </c>
      <c r="G16" s="5">
        <f t="shared" si="1"/>
        <v>-12.952380952380949</v>
      </c>
      <c r="H16" s="1">
        <f t="shared" si="1"/>
        <v>-28.761904761904759</v>
      </c>
      <c r="I16" s="6">
        <f t="shared" si="3"/>
        <v>31.543800307960367</v>
      </c>
      <c r="J16" s="15">
        <v>2</v>
      </c>
    </row>
    <row r="17" spans="2:10" x14ac:dyDescent="0.25">
      <c r="B17" s="5">
        <v>-157</v>
      </c>
      <c r="C17" s="6">
        <v>-87</v>
      </c>
      <c r="D17" s="5">
        <f t="shared" si="0"/>
        <v>-230.59259259259261</v>
      </c>
      <c r="E17" s="1">
        <f t="shared" si="0"/>
        <v>-161.18518518518519</v>
      </c>
      <c r="F17" s="6">
        <f t="shared" si="2"/>
        <v>281.34250955331271</v>
      </c>
      <c r="G17" s="5">
        <f t="shared" si="1"/>
        <v>-56.952380952380949</v>
      </c>
      <c r="H17" s="1">
        <f t="shared" si="1"/>
        <v>22.238095238095241</v>
      </c>
      <c r="I17" s="6">
        <f t="shared" si="3"/>
        <v>61.140057049071508</v>
      </c>
      <c r="J17" s="15">
        <v>2</v>
      </c>
    </row>
    <row r="18" spans="2:10" x14ac:dyDescent="0.25">
      <c r="B18" s="5">
        <v>-187</v>
      </c>
      <c r="C18" s="6">
        <v>-190</v>
      </c>
      <c r="D18" s="5">
        <f t="shared" si="0"/>
        <v>-260.59259259259261</v>
      </c>
      <c r="E18" s="1">
        <f t="shared" si="0"/>
        <v>-264.18518518518522</v>
      </c>
      <c r="F18" s="6">
        <f t="shared" si="2"/>
        <v>371.08262069983761</v>
      </c>
      <c r="G18" s="5">
        <f t="shared" si="1"/>
        <v>-86.952380952380949</v>
      </c>
      <c r="H18" s="1">
        <f t="shared" si="1"/>
        <v>-80.761904761904759</v>
      </c>
      <c r="I18" s="6">
        <f t="shared" si="3"/>
        <v>118.67266666785135</v>
      </c>
      <c r="J18" s="15">
        <v>2</v>
      </c>
    </row>
    <row r="19" spans="2:10" x14ac:dyDescent="0.25">
      <c r="B19" s="5">
        <v>-195</v>
      </c>
      <c r="C19" s="6">
        <v>3</v>
      </c>
      <c r="D19" s="5">
        <f t="shared" si="0"/>
        <v>-268.59259259259261</v>
      </c>
      <c r="E19" s="1">
        <f t="shared" si="0"/>
        <v>-71.18518518518519</v>
      </c>
      <c r="F19" s="6">
        <f t="shared" si="2"/>
        <v>277.86563548855685</v>
      </c>
      <c r="G19" s="5">
        <f t="shared" si="1"/>
        <v>-94.952380952380949</v>
      </c>
      <c r="H19" s="1">
        <f t="shared" si="1"/>
        <v>112.23809523809524</v>
      </c>
      <c r="I19" s="6">
        <f t="shared" si="3"/>
        <v>147.01477705047822</v>
      </c>
      <c r="J19" s="15">
        <v>2</v>
      </c>
    </row>
    <row r="20" spans="2:10" x14ac:dyDescent="0.25">
      <c r="B20" s="5">
        <v>20</v>
      </c>
      <c r="C20" s="6">
        <v>-33</v>
      </c>
      <c r="D20" s="5">
        <f t="shared" si="0"/>
        <v>-53.592592592592595</v>
      </c>
      <c r="E20" s="1">
        <f t="shared" si="0"/>
        <v>-107.18518518518519</v>
      </c>
      <c r="F20" s="6">
        <f t="shared" si="2"/>
        <v>119.83668012748873</v>
      </c>
      <c r="G20" s="5">
        <f t="shared" si="1"/>
        <v>120.04761904761905</v>
      </c>
      <c r="H20" s="1">
        <f t="shared" si="1"/>
        <v>76.238095238095241</v>
      </c>
      <c r="I20" s="6">
        <f t="shared" si="3"/>
        <v>142.20997856878802</v>
      </c>
      <c r="J20" s="15">
        <v>1</v>
      </c>
    </row>
    <row r="21" spans="2:10" x14ac:dyDescent="0.25">
      <c r="B21" s="5">
        <v>5</v>
      </c>
      <c r="C21" s="6">
        <v>-186</v>
      </c>
      <c r="D21" s="5">
        <f t="shared" si="0"/>
        <v>-68.592592592592595</v>
      </c>
      <c r="E21" s="1">
        <f t="shared" si="0"/>
        <v>-260.18518518518522</v>
      </c>
      <c r="F21" s="6">
        <f t="shared" si="2"/>
        <v>269.07484897036085</v>
      </c>
      <c r="G21" s="5">
        <f t="shared" si="1"/>
        <v>105.04761904761905</v>
      </c>
      <c r="H21" s="1">
        <f t="shared" si="1"/>
        <v>-76.761904761904759</v>
      </c>
      <c r="I21" s="6">
        <f t="shared" si="3"/>
        <v>130.10531230602936</v>
      </c>
      <c r="J21" s="15">
        <v>2</v>
      </c>
    </row>
    <row r="22" spans="2:10" x14ac:dyDescent="0.25">
      <c r="B22" s="5">
        <v>-165</v>
      </c>
      <c r="C22" s="6">
        <v>-59</v>
      </c>
      <c r="D22" s="5">
        <f t="shared" si="0"/>
        <v>-238.59259259259261</v>
      </c>
      <c r="E22" s="1">
        <f t="shared" si="0"/>
        <v>-133.18518518518519</v>
      </c>
      <c r="F22" s="6">
        <f t="shared" si="2"/>
        <v>273.24845615824978</v>
      </c>
      <c r="G22" s="5">
        <f t="shared" si="1"/>
        <v>-64.952380952380949</v>
      </c>
      <c r="H22" s="1">
        <f t="shared" si="1"/>
        <v>50.238095238095241</v>
      </c>
      <c r="I22" s="6">
        <f t="shared" si="3"/>
        <v>82.11381128978941</v>
      </c>
      <c r="J22" s="15">
        <v>2</v>
      </c>
    </row>
    <row r="23" spans="2:10" x14ac:dyDescent="0.25">
      <c r="B23" s="5">
        <v>-129</v>
      </c>
      <c r="C23" s="6">
        <v>-24</v>
      </c>
      <c r="D23" s="5">
        <f t="shared" si="0"/>
        <v>-202.59259259259261</v>
      </c>
      <c r="E23" s="1">
        <f t="shared" si="0"/>
        <v>-98.18518518518519</v>
      </c>
      <c r="F23" s="6">
        <f t="shared" si="2"/>
        <v>225.13127095816191</v>
      </c>
      <c r="G23" s="5">
        <f t="shared" si="1"/>
        <v>-28.952380952380949</v>
      </c>
      <c r="H23" s="1">
        <f t="shared" si="1"/>
        <v>85.238095238095241</v>
      </c>
      <c r="I23" s="6">
        <f t="shared" si="3"/>
        <v>90.020960018377863</v>
      </c>
      <c r="J23" s="15">
        <v>2</v>
      </c>
    </row>
    <row r="24" spans="2:10" x14ac:dyDescent="0.25">
      <c r="B24" s="5">
        <v>-7</v>
      </c>
      <c r="C24" s="6">
        <v>-44</v>
      </c>
      <c r="D24" s="5">
        <f t="shared" si="0"/>
        <v>-80.592592592592595</v>
      </c>
      <c r="E24" s="1">
        <f t="shared" si="0"/>
        <v>-118.18518518518519</v>
      </c>
      <c r="F24" s="6">
        <f t="shared" si="2"/>
        <v>143.04860704687803</v>
      </c>
      <c r="G24" s="5">
        <f t="shared" si="1"/>
        <v>93.047619047619051</v>
      </c>
      <c r="H24" s="1">
        <f t="shared" si="1"/>
        <v>65.238095238095241</v>
      </c>
      <c r="I24" s="6">
        <f t="shared" si="3"/>
        <v>113.63920309789938</v>
      </c>
      <c r="J24" s="15">
        <v>2</v>
      </c>
    </row>
    <row r="25" spans="2:10" x14ac:dyDescent="0.25">
      <c r="B25" s="5">
        <v>14</v>
      </c>
      <c r="C25" s="6">
        <v>-189</v>
      </c>
      <c r="D25" s="5">
        <f t="shared" ref="D25:E56" si="4">(B25-D$4)</f>
        <v>-59.592592592592595</v>
      </c>
      <c r="E25" s="1">
        <f t="shared" si="4"/>
        <v>-263.18518518518522</v>
      </c>
      <c r="F25" s="6">
        <f t="shared" si="2"/>
        <v>269.84758437471135</v>
      </c>
      <c r="G25" s="5">
        <f t="shared" ref="G25:H56" si="5">(B25-G$4)</f>
        <v>114.04761904761905</v>
      </c>
      <c r="H25" s="1">
        <f t="shared" si="5"/>
        <v>-79.761904761904759</v>
      </c>
      <c r="I25" s="6">
        <f t="shared" si="3"/>
        <v>139.17191118066174</v>
      </c>
      <c r="J25" s="15">
        <v>2</v>
      </c>
    </row>
    <row r="26" spans="2:10" x14ac:dyDescent="0.25">
      <c r="B26" s="5">
        <v>-146</v>
      </c>
      <c r="C26" s="6">
        <v>-125</v>
      </c>
      <c r="D26" s="5">
        <f t="shared" si="4"/>
        <v>-219.59259259259261</v>
      </c>
      <c r="E26" s="1">
        <f t="shared" si="4"/>
        <v>-199.18518518518519</v>
      </c>
      <c r="F26" s="6">
        <f t="shared" si="2"/>
        <v>296.47199651702834</v>
      </c>
      <c r="G26" s="5">
        <f t="shared" si="5"/>
        <v>-45.952380952380949</v>
      </c>
      <c r="H26" s="1">
        <f t="shared" si="5"/>
        <v>-15.761904761904759</v>
      </c>
      <c r="I26" s="6">
        <f t="shared" si="3"/>
        <v>48.580438006630807</v>
      </c>
      <c r="J26" s="15">
        <v>2</v>
      </c>
    </row>
    <row r="27" spans="2:10" x14ac:dyDescent="0.25">
      <c r="B27" s="5">
        <v>-120</v>
      </c>
      <c r="C27" s="6">
        <v>-145</v>
      </c>
      <c r="D27" s="5">
        <f t="shared" si="4"/>
        <v>-193.59259259259261</v>
      </c>
      <c r="E27" s="1">
        <f t="shared" si="4"/>
        <v>-219.18518518518519</v>
      </c>
      <c r="F27" s="6">
        <f t="shared" si="2"/>
        <v>292.43843336912039</v>
      </c>
      <c r="G27" s="5">
        <f t="shared" si="5"/>
        <v>-19.952380952380949</v>
      </c>
      <c r="H27" s="1">
        <f t="shared" si="5"/>
        <v>-35.761904761904759</v>
      </c>
      <c r="I27" s="6">
        <f t="shared" si="3"/>
        <v>40.9513288901408</v>
      </c>
      <c r="J27" s="15">
        <v>2</v>
      </c>
    </row>
    <row r="28" spans="2:10" x14ac:dyDescent="0.25">
      <c r="B28" s="5">
        <v>-37</v>
      </c>
      <c r="C28" s="6">
        <v>-127</v>
      </c>
      <c r="D28" s="5">
        <f t="shared" si="4"/>
        <v>-110.5925925925926</v>
      </c>
      <c r="E28" s="1">
        <f t="shared" si="4"/>
        <v>-201.18518518518519</v>
      </c>
      <c r="F28" s="6">
        <f t="shared" si="2"/>
        <v>229.57830967743539</v>
      </c>
      <c r="G28" s="5">
        <f t="shared" si="5"/>
        <v>63.047619047619051</v>
      </c>
      <c r="H28" s="1">
        <f t="shared" si="5"/>
        <v>-17.761904761904759</v>
      </c>
      <c r="I28" s="6">
        <f t="shared" si="3"/>
        <v>65.501813168374738</v>
      </c>
      <c r="J28" s="15">
        <v>2</v>
      </c>
    </row>
    <row r="29" spans="2:10" x14ac:dyDescent="0.25">
      <c r="B29" s="5">
        <v>-135</v>
      </c>
      <c r="C29" s="6">
        <v>-4</v>
      </c>
      <c r="D29" s="5">
        <f t="shared" si="4"/>
        <v>-208.59259259259261</v>
      </c>
      <c r="E29" s="1">
        <f t="shared" si="4"/>
        <v>-78.18518518518519</v>
      </c>
      <c r="F29" s="6">
        <f t="shared" si="2"/>
        <v>222.76398467198646</v>
      </c>
      <c r="G29" s="5">
        <f t="shared" si="5"/>
        <v>-34.952380952380949</v>
      </c>
      <c r="H29" s="1">
        <f t="shared" si="5"/>
        <v>105.23809523809524</v>
      </c>
      <c r="I29" s="6">
        <f t="shared" si="3"/>
        <v>110.89060205257597</v>
      </c>
      <c r="J29" s="15">
        <v>2</v>
      </c>
    </row>
    <row r="30" spans="2:10" x14ac:dyDescent="0.25">
      <c r="B30" s="5">
        <v>-188</v>
      </c>
      <c r="C30" s="6">
        <v>-181</v>
      </c>
      <c r="D30" s="5">
        <f t="shared" si="4"/>
        <v>-261.59259259259261</v>
      </c>
      <c r="E30" s="1">
        <f t="shared" si="4"/>
        <v>-255.18518518518519</v>
      </c>
      <c r="F30" s="6">
        <f t="shared" si="2"/>
        <v>365.44515763286756</v>
      </c>
      <c r="G30" s="5">
        <f t="shared" si="5"/>
        <v>-87.952380952380949</v>
      </c>
      <c r="H30" s="1">
        <f t="shared" si="5"/>
        <v>-71.761904761904759</v>
      </c>
      <c r="I30" s="6">
        <f t="shared" si="3"/>
        <v>113.51384184428537</v>
      </c>
      <c r="J30" s="15">
        <v>2</v>
      </c>
    </row>
    <row r="31" spans="2:10" x14ac:dyDescent="0.25">
      <c r="B31" s="5">
        <v>6</v>
      </c>
      <c r="C31" s="6">
        <v>-39</v>
      </c>
      <c r="D31" s="5">
        <f t="shared" si="4"/>
        <v>-67.592592592592595</v>
      </c>
      <c r="E31" s="1">
        <f t="shared" si="4"/>
        <v>-113.18518518518519</v>
      </c>
      <c r="F31" s="6">
        <f t="shared" si="2"/>
        <v>131.83188050996188</v>
      </c>
      <c r="G31" s="5">
        <f t="shared" si="5"/>
        <v>106.04761904761905</v>
      </c>
      <c r="H31" s="1">
        <f t="shared" si="5"/>
        <v>70.238095238095241</v>
      </c>
      <c r="I31" s="6">
        <f t="shared" si="3"/>
        <v>127.19861449066445</v>
      </c>
      <c r="J31" s="15">
        <v>1</v>
      </c>
    </row>
    <row r="32" spans="2:10" x14ac:dyDescent="0.25">
      <c r="B32" s="5">
        <v>-52</v>
      </c>
      <c r="C32" s="6">
        <v>-120</v>
      </c>
      <c r="D32" s="5">
        <f t="shared" si="4"/>
        <v>-125.5925925925926</v>
      </c>
      <c r="E32" s="1">
        <f t="shared" si="4"/>
        <v>-194.18518518518519</v>
      </c>
      <c r="F32" s="6">
        <f t="shared" si="2"/>
        <v>231.26042778550249</v>
      </c>
      <c r="G32" s="5">
        <f t="shared" si="5"/>
        <v>48.047619047619051</v>
      </c>
      <c r="H32" s="1">
        <f t="shared" si="5"/>
        <v>-10.761904761904759</v>
      </c>
      <c r="I32" s="6">
        <f t="shared" si="3"/>
        <v>49.238118264708632</v>
      </c>
      <c r="J32" s="15">
        <v>2</v>
      </c>
    </row>
    <row r="33" spans="2:10" x14ac:dyDescent="0.25">
      <c r="B33" s="5">
        <v>33</v>
      </c>
      <c r="C33" s="6">
        <v>92</v>
      </c>
      <c r="D33" s="5">
        <f t="shared" si="4"/>
        <v>-40.592592592592595</v>
      </c>
      <c r="E33" s="1">
        <f t="shared" si="4"/>
        <v>17.81481481481481</v>
      </c>
      <c r="F33" s="6">
        <f t="shared" si="2"/>
        <v>44.32974396806673</v>
      </c>
      <c r="G33" s="5">
        <f t="shared" si="5"/>
        <v>133.04761904761904</v>
      </c>
      <c r="H33" s="1">
        <f t="shared" si="5"/>
        <v>201.23809523809524</v>
      </c>
      <c r="I33" s="6">
        <f t="shared" si="3"/>
        <v>241.24352822261793</v>
      </c>
      <c r="J33" s="15">
        <v>1</v>
      </c>
    </row>
    <row r="34" spans="2:10" x14ac:dyDescent="0.25">
      <c r="B34" s="5">
        <v>37</v>
      </c>
      <c r="C34" s="6">
        <v>130</v>
      </c>
      <c r="D34" s="5">
        <f t="shared" si="4"/>
        <v>-36.592592592592595</v>
      </c>
      <c r="E34" s="1">
        <f t="shared" si="4"/>
        <v>55.81481481481481</v>
      </c>
      <c r="F34" s="6">
        <f t="shared" si="2"/>
        <v>66.740627697524189</v>
      </c>
      <c r="G34" s="5">
        <f t="shared" si="5"/>
        <v>137.04761904761904</v>
      </c>
      <c r="H34" s="1">
        <f t="shared" si="5"/>
        <v>239.23809523809524</v>
      </c>
      <c r="I34" s="6">
        <f t="shared" si="3"/>
        <v>275.71165390634695</v>
      </c>
      <c r="J34" s="15">
        <v>1</v>
      </c>
    </row>
    <row r="35" spans="2:10" x14ac:dyDescent="0.25">
      <c r="B35" s="5">
        <v>85</v>
      </c>
      <c r="C35" s="6">
        <v>132</v>
      </c>
      <c r="D35" s="5">
        <f t="shared" si="4"/>
        <v>11.407407407407405</v>
      </c>
      <c r="E35" s="1">
        <f t="shared" si="4"/>
        <v>57.81481481481481</v>
      </c>
      <c r="F35" s="6">
        <f t="shared" si="2"/>
        <v>58.929464241836641</v>
      </c>
      <c r="G35" s="5">
        <f t="shared" si="5"/>
        <v>185.04761904761904</v>
      </c>
      <c r="H35" s="1">
        <f t="shared" si="5"/>
        <v>241.23809523809524</v>
      </c>
      <c r="I35" s="6">
        <f t="shared" si="3"/>
        <v>304.03690550539591</v>
      </c>
      <c r="J35" s="15">
        <v>1</v>
      </c>
    </row>
    <row r="36" spans="2:10" x14ac:dyDescent="0.25">
      <c r="B36" s="5">
        <v>3</v>
      </c>
      <c r="C36" s="6">
        <v>177</v>
      </c>
      <c r="D36" s="5">
        <f t="shared" si="4"/>
        <v>-70.592592592592595</v>
      </c>
      <c r="E36" s="1">
        <f t="shared" si="4"/>
        <v>102.81481481481481</v>
      </c>
      <c r="F36" s="6">
        <f t="shared" si="2"/>
        <v>124.71647956203873</v>
      </c>
      <c r="G36" s="5">
        <f t="shared" si="5"/>
        <v>103.04761904761905</v>
      </c>
      <c r="H36" s="1">
        <f t="shared" si="5"/>
        <v>286.23809523809524</v>
      </c>
      <c r="I36" s="6">
        <f t="shared" si="3"/>
        <v>304.22205534266595</v>
      </c>
      <c r="J36" s="15">
        <v>1</v>
      </c>
    </row>
    <row r="37" spans="2:10" x14ac:dyDescent="0.25">
      <c r="B37" s="5">
        <v>54</v>
      </c>
      <c r="C37" s="6">
        <v>4</v>
      </c>
      <c r="D37" s="5">
        <f t="shared" si="4"/>
        <v>-19.592592592592595</v>
      </c>
      <c r="E37" s="1">
        <f t="shared" si="4"/>
        <v>-70.18518518518519</v>
      </c>
      <c r="F37" s="6">
        <f t="shared" si="2"/>
        <v>72.868579675866144</v>
      </c>
      <c r="G37" s="5">
        <f t="shared" si="5"/>
        <v>154.04761904761904</v>
      </c>
      <c r="H37" s="1">
        <f t="shared" si="5"/>
        <v>113.23809523809524</v>
      </c>
      <c r="I37" s="6">
        <f t="shared" si="3"/>
        <v>191.18978829266035</v>
      </c>
      <c r="J37" s="15">
        <v>1</v>
      </c>
    </row>
    <row r="38" spans="2:10" x14ac:dyDescent="0.25">
      <c r="B38" s="5">
        <v>-20</v>
      </c>
      <c r="C38" s="6">
        <v>162</v>
      </c>
      <c r="D38" s="5">
        <f t="shared" si="4"/>
        <v>-93.592592592592595</v>
      </c>
      <c r="E38" s="1">
        <f t="shared" si="4"/>
        <v>87.81481481481481</v>
      </c>
      <c r="F38" s="6">
        <f t="shared" si="2"/>
        <v>128.33945258245117</v>
      </c>
      <c r="G38" s="5">
        <f t="shared" si="5"/>
        <v>80.047619047619051</v>
      </c>
      <c r="H38" s="1">
        <f t="shared" si="5"/>
        <v>271.23809523809524</v>
      </c>
      <c r="I38" s="6">
        <f t="shared" si="3"/>
        <v>282.80333382685359</v>
      </c>
      <c r="J38" s="15">
        <v>1</v>
      </c>
    </row>
    <row r="39" spans="2:10" x14ac:dyDescent="0.25">
      <c r="B39" s="5">
        <v>163</v>
      </c>
      <c r="C39" s="6">
        <v>17</v>
      </c>
      <c r="D39" s="5">
        <f t="shared" si="4"/>
        <v>89.407407407407405</v>
      </c>
      <c r="E39" s="1">
        <f t="shared" si="4"/>
        <v>-57.18518518518519</v>
      </c>
      <c r="F39" s="6">
        <f t="shared" si="2"/>
        <v>106.13119194646809</v>
      </c>
      <c r="G39" s="5">
        <f t="shared" si="5"/>
        <v>263.04761904761904</v>
      </c>
      <c r="H39" s="1">
        <f t="shared" si="5"/>
        <v>126.23809523809524</v>
      </c>
      <c r="I39" s="6">
        <f t="shared" si="3"/>
        <v>291.77064035979311</v>
      </c>
      <c r="J39" s="15">
        <v>1</v>
      </c>
    </row>
    <row r="40" spans="2:10" x14ac:dyDescent="0.25">
      <c r="B40" s="5">
        <v>166</v>
      </c>
      <c r="C40" s="6">
        <v>92</v>
      </c>
      <c r="D40" s="5">
        <f t="shared" si="4"/>
        <v>92.407407407407405</v>
      </c>
      <c r="E40" s="1">
        <f t="shared" si="4"/>
        <v>17.81481481481481</v>
      </c>
      <c r="F40" s="6">
        <f t="shared" si="2"/>
        <v>94.108961160161144</v>
      </c>
      <c r="G40" s="5">
        <f t="shared" si="5"/>
        <v>266.04761904761904</v>
      </c>
      <c r="H40" s="1">
        <f t="shared" si="5"/>
        <v>201.23809523809524</v>
      </c>
      <c r="I40" s="6">
        <f t="shared" si="3"/>
        <v>333.58373248101253</v>
      </c>
      <c r="J40" s="15">
        <v>1</v>
      </c>
    </row>
    <row r="41" spans="2:10" x14ac:dyDescent="0.25">
      <c r="B41" s="5">
        <v>123</v>
      </c>
      <c r="C41" s="6">
        <v>73</v>
      </c>
      <c r="D41" s="5">
        <f t="shared" si="4"/>
        <v>49.407407407407405</v>
      </c>
      <c r="E41" s="1">
        <f t="shared" si="4"/>
        <v>-1.1851851851851904</v>
      </c>
      <c r="F41" s="6">
        <f t="shared" si="2"/>
        <v>49.421620477729363</v>
      </c>
      <c r="G41" s="5">
        <f t="shared" si="5"/>
        <v>223.04761904761904</v>
      </c>
      <c r="H41" s="1">
        <f t="shared" si="5"/>
        <v>182.23809523809524</v>
      </c>
      <c r="I41" s="6">
        <f t="shared" si="3"/>
        <v>288.02944939505903</v>
      </c>
      <c r="J41" s="15">
        <v>1</v>
      </c>
    </row>
    <row r="42" spans="2:10" x14ac:dyDescent="0.25">
      <c r="B42" s="5">
        <v>-5</v>
      </c>
      <c r="C42" s="6">
        <v>141</v>
      </c>
      <c r="D42" s="5">
        <f t="shared" si="4"/>
        <v>-78.592592592592595</v>
      </c>
      <c r="E42" s="1">
        <f t="shared" si="4"/>
        <v>66.81481481481481</v>
      </c>
      <c r="F42" s="6">
        <f t="shared" si="2"/>
        <v>103.1552959821416</v>
      </c>
      <c r="G42" s="5">
        <f t="shared" si="5"/>
        <v>95.047619047619051</v>
      </c>
      <c r="H42" s="1">
        <f t="shared" si="5"/>
        <v>250.23809523809524</v>
      </c>
      <c r="I42" s="6">
        <f t="shared" si="3"/>
        <v>267.68106805489873</v>
      </c>
      <c r="J42" s="15">
        <v>1</v>
      </c>
    </row>
    <row r="43" spans="2:10" x14ac:dyDescent="0.25">
      <c r="B43" s="5">
        <v>86</v>
      </c>
      <c r="C43" s="6">
        <v>43</v>
      </c>
      <c r="D43" s="5">
        <f t="shared" si="4"/>
        <v>12.407407407407405</v>
      </c>
      <c r="E43" s="1">
        <f t="shared" si="4"/>
        <v>-31.18518518518519</v>
      </c>
      <c r="F43" s="6">
        <f t="shared" si="2"/>
        <v>33.562770052659275</v>
      </c>
      <c r="G43" s="5">
        <f t="shared" si="5"/>
        <v>186.04761904761904</v>
      </c>
      <c r="H43" s="1">
        <f t="shared" si="5"/>
        <v>152.23809523809524</v>
      </c>
      <c r="I43" s="6">
        <f t="shared" si="3"/>
        <v>240.39582815642066</v>
      </c>
      <c r="J43" s="15">
        <v>1</v>
      </c>
    </row>
    <row r="44" spans="2:10" x14ac:dyDescent="0.25">
      <c r="B44" s="5">
        <v>117</v>
      </c>
      <c r="C44" s="6">
        <v>28</v>
      </c>
      <c r="D44" s="5">
        <f t="shared" si="4"/>
        <v>43.407407407407405</v>
      </c>
      <c r="E44" s="1">
        <f t="shared" si="4"/>
        <v>-46.18518518518519</v>
      </c>
      <c r="F44" s="6">
        <f t="shared" si="2"/>
        <v>63.381971793424803</v>
      </c>
      <c r="G44" s="5">
        <f t="shared" si="5"/>
        <v>217.04761904761904</v>
      </c>
      <c r="H44" s="1">
        <f t="shared" si="5"/>
        <v>137.23809523809524</v>
      </c>
      <c r="I44" s="6">
        <f t="shared" si="3"/>
        <v>256.79556795011251</v>
      </c>
      <c r="J44" s="15">
        <v>1</v>
      </c>
    </row>
    <row r="45" spans="2:10" x14ac:dyDescent="0.25">
      <c r="B45" s="5">
        <v>163</v>
      </c>
      <c r="C45" s="6">
        <v>80</v>
      </c>
      <c r="D45" s="5">
        <f t="shared" si="4"/>
        <v>89.407407407407405</v>
      </c>
      <c r="E45" s="1">
        <f t="shared" si="4"/>
        <v>5.8148148148148096</v>
      </c>
      <c r="F45" s="6">
        <f t="shared" si="2"/>
        <v>89.596297750770475</v>
      </c>
      <c r="G45" s="5">
        <f t="shared" si="5"/>
        <v>263.04761904761904</v>
      </c>
      <c r="H45" s="1">
        <f t="shared" si="5"/>
        <v>189.23809523809524</v>
      </c>
      <c r="I45" s="6">
        <f t="shared" si="3"/>
        <v>324.04491444237129</v>
      </c>
      <c r="J45" s="15">
        <v>1</v>
      </c>
    </row>
    <row r="46" spans="2:10" x14ac:dyDescent="0.25">
      <c r="B46" s="5">
        <v>137</v>
      </c>
      <c r="C46" s="6">
        <v>93</v>
      </c>
      <c r="D46" s="5">
        <f t="shared" si="4"/>
        <v>63.407407407407405</v>
      </c>
      <c r="E46" s="1">
        <f t="shared" si="4"/>
        <v>18.81481481481481</v>
      </c>
      <c r="F46" s="6">
        <f t="shared" si="2"/>
        <v>66.139977098912865</v>
      </c>
      <c r="G46" s="5">
        <f t="shared" si="5"/>
        <v>237.04761904761904</v>
      </c>
      <c r="H46" s="1">
        <f t="shared" si="5"/>
        <v>202.23809523809524</v>
      </c>
      <c r="I46" s="6">
        <f t="shared" si="3"/>
        <v>311.59560468927992</v>
      </c>
      <c r="J46" s="15">
        <v>1</v>
      </c>
    </row>
    <row r="47" spans="2:10" x14ac:dyDescent="0.25">
      <c r="B47" s="5">
        <v>-1</v>
      </c>
      <c r="C47" s="6">
        <v>25</v>
      </c>
      <c r="D47" s="5">
        <f t="shared" si="4"/>
        <v>-74.592592592592595</v>
      </c>
      <c r="E47" s="1">
        <f t="shared" si="4"/>
        <v>-49.18518518518519</v>
      </c>
      <c r="F47" s="6">
        <f t="shared" si="2"/>
        <v>89.348963683892052</v>
      </c>
      <c r="G47" s="5">
        <f t="shared" si="5"/>
        <v>99.047619047619051</v>
      </c>
      <c r="H47" s="1">
        <f t="shared" si="5"/>
        <v>134.23809523809524</v>
      </c>
      <c r="I47" s="6">
        <f t="shared" si="3"/>
        <v>166.82415008671313</v>
      </c>
      <c r="J47" s="15">
        <v>1</v>
      </c>
    </row>
    <row r="48" spans="2:10" x14ac:dyDescent="0.25">
      <c r="B48" s="5">
        <v>154</v>
      </c>
      <c r="C48" s="6">
        <v>64</v>
      </c>
      <c r="D48" s="5">
        <f t="shared" si="4"/>
        <v>80.407407407407405</v>
      </c>
      <c r="E48" s="1">
        <f t="shared" si="4"/>
        <v>-10.18518518518519</v>
      </c>
      <c r="F48" s="6">
        <f t="shared" si="2"/>
        <v>81.04991772504961</v>
      </c>
      <c r="G48" s="5">
        <f t="shared" si="5"/>
        <v>254.04761904761904</v>
      </c>
      <c r="H48" s="1">
        <f t="shared" si="5"/>
        <v>173.23809523809524</v>
      </c>
      <c r="I48" s="6">
        <f t="shared" si="3"/>
        <v>307.49248833993897</v>
      </c>
      <c r="J48" s="15">
        <v>1</v>
      </c>
    </row>
    <row r="49" spans="2:10" x14ac:dyDescent="0.25">
      <c r="B49" s="5">
        <v>64</v>
      </c>
      <c r="C49" s="6">
        <v>59</v>
      </c>
      <c r="D49" s="5">
        <f t="shared" si="4"/>
        <v>-9.5925925925925952</v>
      </c>
      <c r="E49" s="1">
        <f t="shared" si="4"/>
        <v>-15.18518518518519</v>
      </c>
      <c r="F49" s="6">
        <f t="shared" si="2"/>
        <v>17.961282853845105</v>
      </c>
      <c r="G49" s="5">
        <f t="shared" si="5"/>
        <v>164.04761904761904</v>
      </c>
      <c r="H49" s="1">
        <f t="shared" si="5"/>
        <v>168.23809523809524</v>
      </c>
      <c r="I49" s="6">
        <f t="shared" si="3"/>
        <v>234.98016513002784</v>
      </c>
      <c r="J49" s="15">
        <v>1</v>
      </c>
    </row>
    <row r="50" spans="2:10" x14ac:dyDescent="0.25">
      <c r="B50" s="5">
        <v>89</v>
      </c>
      <c r="C50" s="6">
        <v>168</v>
      </c>
      <c r="D50" s="5">
        <f t="shared" si="4"/>
        <v>15.407407407407405</v>
      </c>
      <c r="E50" s="1">
        <f t="shared" si="4"/>
        <v>93.81481481481481</v>
      </c>
      <c r="F50" s="6">
        <f t="shared" si="2"/>
        <v>95.071592401494087</v>
      </c>
      <c r="G50" s="5">
        <f t="shared" si="5"/>
        <v>189.04761904761904</v>
      </c>
      <c r="H50" s="1">
        <f t="shared" si="5"/>
        <v>277.23809523809524</v>
      </c>
      <c r="I50" s="6">
        <f t="shared" si="3"/>
        <v>335.55918065047911</v>
      </c>
      <c r="J50" s="15">
        <v>1</v>
      </c>
    </row>
    <row r="51" spans="2:10" x14ac:dyDescent="0.25">
      <c r="B51" s="5">
        <v>168</v>
      </c>
      <c r="C51" s="6">
        <v>25</v>
      </c>
      <c r="D51" s="5">
        <f t="shared" si="4"/>
        <v>94.407407407407405</v>
      </c>
      <c r="E51" s="1">
        <f t="shared" si="4"/>
        <v>-49.18518518518519</v>
      </c>
      <c r="F51" s="6">
        <f t="shared" si="2"/>
        <v>106.45159000733227</v>
      </c>
      <c r="G51" s="5">
        <f t="shared" si="5"/>
        <v>268.04761904761904</v>
      </c>
      <c r="H51" s="1">
        <f t="shared" si="5"/>
        <v>134.23809523809524</v>
      </c>
      <c r="I51" s="6">
        <f t="shared" si="3"/>
        <v>299.78224145244064</v>
      </c>
      <c r="J51" s="15">
        <v>1</v>
      </c>
    </row>
    <row r="52" spans="2:10" x14ac:dyDescent="0.25">
      <c r="B52" s="5">
        <v>22</v>
      </c>
      <c r="C52" s="6">
        <v>40</v>
      </c>
      <c r="D52" s="5">
        <f t="shared" si="4"/>
        <v>-51.592592592592595</v>
      </c>
      <c r="E52" s="1">
        <f t="shared" si="4"/>
        <v>-34.18518518518519</v>
      </c>
      <c r="F52" s="6">
        <f t="shared" si="2"/>
        <v>61.89040714497397</v>
      </c>
      <c r="G52" s="5">
        <f t="shared" si="5"/>
        <v>122.04761904761905</v>
      </c>
      <c r="H52" s="1">
        <f t="shared" si="5"/>
        <v>149.23809523809524</v>
      </c>
      <c r="I52" s="6">
        <f t="shared" si="3"/>
        <v>192.78908264081639</v>
      </c>
      <c r="J52" s="15">
        <v>1</v>
      </c>
    </row>
    <row r="53" spans="2:10" x14ac:dyDescent="0.25">
      <c r="B53" s="5">
        <v>-20</v>
      </c>
      <c r="C53" s="6">
        <v>187</v>
      </c>
      <c r="D53" s="5">
        <f t="shared" si="4"/>
        <v>-93.592592592592595</v>
      </c>
      <c r="E53" s="1">
        <f t="shared" si="4"/>
        <v>112.81481481481481</v>
      </c>
      <c r="F53" s="6">
        <f t="shared" si="2"/>
        <v>146.58361378375133</v>
      </c>
      <c r="G53" s="5">
        <f t="shared" si="5"/>
        <v>80.047619047619051</v>
      </c>
      <c r="H53" s="1">
        <f t="shared" si="5"/>
        <v>296.23809523809524</v>
      </c>
      <c r="I53" s="6">
        <f t="shared" si="3"/>
        <v>306.86255943905496</v>
      </c>
      <c r="J53" s="15">
        <v>1</v>
      </c>
    </row>
    <row r="54" spans="2:10" x14ac:dyDescent="0.25">
      <c r="B54" s="5">
        <v>-14</v>
      </c>
      <c r="C54" s="6">
        <v>72</v>
      </c>
      <c r="D54" s="5">
        <f t="shared" si="4"/>
        <v>-87.592592592592595</v>
      </c>
      <c r="E54" s="1">
        <f t="shared" si="4"/>
        <v>-2.1851851851851904</v>
      </c>
      <c r="F54" s="6">
        <f t="shared" si="2"/>
        <v>87.619845419776098</v>
      </c>
      <c r="G54" s="5">
        <f t="shared" si="5"/>
        <v>86.047619047619051</v>
      </c>
      <c r="H54" s="1">
        <f t="shared" si="5"/>
        <v>181.23809523809524</v>
      </c>
      <c r="I54" s="6">
        <f t="shared" si="3"/>
        <v>200.62761502170395</v>
      </c>
      <c r="J54" s="15">
        <v>1</v>
      </c>
    </row>
    <row r="55" spans="2:10" x14ac:dyDescent="0.25">
      <c r="B55" s="5">
        <v>183</v>
      </c>
      <c r="C55" s="6">
        <v>76</v>
      </c>
      <c r="D55" s="5">
        <f t="shared" si="4"/>
        <v>109.4074074074074</v>
      </c>
      <c r="E55" s="1">
        <f t="shared" si="4"/>
        <v>1.8148148148148096</v>
      </c>
      <c r="F55" s="6">
        <f t="shared" si="2"/>
        <v>109.42245815381089</v>
      </c>
      <c r="G55" s="5">
        <f t="shared" si="5"/>
        <v>283.04761904761904</v>
      </c>
      <c r="H55" s="1">
        <f t="shared" si="5"/>
        <v>185.23809523809524</v>
      </c>
      <c r="I55" s="6">
        <f t="shared" si="3"/>
        <v>338.27371546716972</v>
      </c>
      <c r="J55" s="15">
        <v>1</v>
      </c>
    </row>
    <row r="56" spans="2:10" ht="15.75" thickBot="1" x14ac:dyDescent="0.3">
      <c r="B56" s="7">
        <v>193</v>
      </c>
      <c r="C56" s="8">
        <v>99</v>
      </c>
      <c r="D56" s="7">
        <f t="shared" si="4"/>
        <v>119.4074074074074</v>
      </c>
      <c r="E56" s="9">
        <f t="shared" si="4"/>
        <v>24.81481481481481</v>
      </c>
      <c r="F56" s="8">
        <f t="shared" si="2"/>
        <v>121.95861584181793</v>
      </c>
      <c r="G56" s="7">
        <f t="shared" si="5"/>
        <v>293.04761904761904</v>
      </c>
      <c r="H56" s="9">
        <f t="shared" si="5"/>
        <v>208.23809523809524</v>
      </c>
      <c r="I56" s="8">
        <f t="shared" si="3"/>
        <v>359.49966806364154</v>
      </c>
      <c r="J56" s="16">
        <v>1</v>
      </c>
    </row>
    <row r="58" spans="2:10" x14ac:dyDescent="0.25">
      <c r="B58" s="1">
        <f>MIN(B9:B56)</f>
        <v>-195</v>
      </c>
      <c r="C58" s="1">
        <f>MIN(C9:C56)</f>
        <v>-200</v>
      </c>
      <c r="F58" s="1">
        <f>AVERAGE(F9:F56)</f>
        <v>165.08686656197045</v>
      </c>
      <c r="I58" s="1">
        <f>AVERAGE(I9:I56)</f>
        <v>184.4903734718946</v>
      </c>
    </row>
    <row r="59" spans="2:10" x14ac:dyDescent="0.25">
      <c r="B59" s="1">
        <f>MAX(B9:B56)</f>
        <v>193</v>
      </c>
      <c r="C59" s="1">
        <f>MAX(C9:C56)</f>
        <v>187</v>
      </c>
    </row>
  </sheetData>
  <mergeCells count="5">
    <mergeCell ref="D2:E2"/>
    <mergeCell ref="G2:H2"/>
    <mergeCell ref="B7:C7"/>
    <mergeCell ref="D7:F7"/>
    <mergeCell ref="G7:I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olorPointsBasedOnClusterAssignment2">
                <anchor moveWithCells="1" sizeWithCells="1">
                  <from>
                    <xdr:col>10</xdr:col>
                    <xdr:colOff>590550</xdr:colOff>
                    <xdr:row>6</xdr:row>
                    <xdr:rowOff>0</xdr:rowOff>
                  </from>
                  <to>
                    <xdr:col>12</xdr:col>
                    <xdr:colOff>590550</xdr:colOff>
                    <xdr:row>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GASolver">
                <anchor moveWithCells="1" sizeWithCells="1">
                  <from>
                    <xdr:col>11</xdr:col>
                    <xdr:colOff>0</xdr:colOff>
                    <xdr:row>4</xdr:row>
                    <xdr:rowOff>9525</xdr:rowOff>
                  </from>
                  <to>
                    <xdr:col>13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16</vt:i4>
      </vt:variant>
    </vt:vector>
  </HeadingPairs>
  <TitlesOfParts>
    <vt:vector size="18" baseType="lpstr">
      <vt:lpstr>clustering</vt:lpstr>
      <vt:lpstr>GA</vt:lpstr>
      <vt:lpstr>centroid1X</vt:lpstr>
      <vt:lpstr>centroid1Y</vt:lpstr>
      <vt:lpstr>centroid2X</vt:lpstr>
      <vt:lpstr>centroid2Y</vt:lpstr>
      <vt:lpstr>clusterAssignment</vt:lpstr>
      <vt:lpstr>clusterAssignment2</vt:lpstr>
      <vt:lpstr>maxRuns</vt:lpstr>
      <vt:lpstr>maxx</vt:lpstr>
      <vt:lpstr>maxy</vt:lpstr>
      <vt:lpstr>minx</vt:lpstr>
      <vt:lpstr>miny</vt:lpstr>
      <vt:lpstr>updateCentroid1X</vt:lpstr>
      <vt:lpstr>updateCentroid1Y</vt:lpstr>
      <vt:lpstr>updateCentroid2X</vt:lpstr>
      <vt:lpstr>updateCentroid2Y</vt:lpstr>
      <vt:lpstr>updateCount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Lee Duncan</dc:creator>
  <cp:lastModifiedBy>Lee Duncan</cp:lastModifiedBy>
  <dcterms:created xsi:type="dcterms:W3CDTF">2024-11-14T18:03:45Z</dcterms:created>
  <dcterms:modified xsi:type="dcterms:W3CDTF">2024-11-15T17:41:23Z</dcterms:modified>
</cp:coreProperties>
</file>